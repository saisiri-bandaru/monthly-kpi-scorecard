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Assumptions" sheetId="2" state="visible" r:id="rId2"/>
    <sheet name="02_Actuals" sheetId="3" state="visible" r:id="rId3"/>
    <sheet name="03_Scorecard" sheetId="4" state="visible" r:id="rId4"/>
    <sheet name="04_Trends" sheetId="5" state="visible" r:id="rId5"/>
    <sheet name="05_Dashboard" sheetId="6" state="visible" r:id="rId6"/>
    <sheet name="06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_($* #,##0_);_($* (#,##0);_($* &quot;-&quot;??_);_(@_)"/>
    <numFmt numFmtId="166" formatCode="#,##0.0"/>
    <numFmt numFmtId="167" formatCode="0.0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i val="1"/>
      <color rgb="00666666"/>
      <sz val="10"/>
    </font>
    <font>
      <name val="Calibri"/>
      <b val="1"/>
      <sz val="11"/>
    </font>
    <font>
      <name val="Calibri"/>
      <b val="1"/>
      <color rgb="000000FF"/>
      <sz val="11"/>
    </font>
    <font>
      <name val="Calibri"/>
      <color rgb="000563C1"/>
      <sz val="11"/>
      <u val="single"/>
    </font>
    <font>
      <name val="Calibri"/>
      <color rgb="000000FF"/>
      <sz val="11"/>
    </font>
    <font>
      <name val="Calibri"/>
      <color rgb="00000000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1F4E79"/>
      <sz val="8"/>
    </font>
    <font>
      <name val="Calibri"/>
      <b val="1"/>
      <color rgb="00FFFFFF"/>
      <sz val="8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6E3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9EDF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0" pivotButton="0" quotePrefix="0" xfId="0"/>
    <xf numFmtId="0" fontId="6" fillId="0" borderId="0" pivotButton="0" quotePrefix="0" xfId="0"/>
    <xf numFmtId="1" fontId="7" fillId="2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10" fillId="4" borderId="1" applyAlignment="1" pivotButton="0" quotePrefix="0" xfId="0">
      <alignment horizontal="center" wrapText="1"/>
    </xf>
    <xf numFmtId="0" fontId="4" fillId="0" borderId="1" pivotButton="0" quotePrefix="0" xfId="0"/>
    <xf numFmtId="0" fontId="0" fillId="0" borderId="1" pivotButton="0" quotePrefix="0" xfId="0"/>
    <xf numFmtId="0" fontId="7" fillId="2" borderId="1" applyAlignment="1" pivotButton="0" quotePrefix="0" xfId="0">
      <alignment horizontal="center"/>
    </xf>
    <xf numFmtId="164" fontId="7" fillId="2" borderId="1" applyAlignment="1" pivotButton="0" quotePrefix="0" xfId="0">
      <alignment horizontal="center"/>
    </xf>
    <xf numFmtId="165" fontId="7" fillId="2" borderId="1" applyAlignment="1" pivotButton="0" quotePrefix="0" xfId="0">
      <alignment horizontal="center"/>
    </xf>
    <xf numFmtId="165" fontId="11" fillId="5" borderId="1" applyAlignment="1" pivotButton="0" quotePrefix="0" xfId="0">
      <alignment horizontal="center"/>
    </xf>
    <xf numFmtId="164" fontId="11" fillId="5" borderId="1" applyAlignment="1" pivotButton="0" quotePrefix="0" xfId="0">
      <alignment horizontal="center"/>
    </xf>
    <xf numFmtId="166" fontId="7" fillId="2" borderId="1" applyAlignment="1" pivotButton="0" quotePrefix="0" xfId="0">
      <alignment horizontal="center"/>
    </xf>
    <xf numFmtId="166" fontId="11" fillId="5" borderId="1" applyAlignment="1" pivotButton="0" quotePrefix="0" xfId="0">
      <alignment horizontal="center"/>
    </xf>
    <xf numFmtId="167" fontId="7" fillId="2" borderId="1" applyAlignment="1" pivotButton="0" quotePrefix="0" xfId="0">
      <alignment horizontal="center"/>
    </xf>
    <xf numFmtId="167" fontId="11" fillId="5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0" fontId="0" fillId="4" borderId="0" pivotButton="0" quotePrefix="0" xfId="0"/>
    <xf numFmtId="0" fontId="0" fillId="6" borderId="1" pivotButton="0" quotePrefix="0" xfId="0"/>
    <xf numFmtId="0" fontId="13" fillId="4" borderId="0" applyAlignment="1" pivotButton="0" quotePrefix="0" xfId="0">
      <alignment horizontal="center" wrapText="1"/>
    </xf>
    <xf numFmtId="0" fontId="10" fillId="4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actual vs target ($000s)</a:t>
            </a:r>
          </a:p>
        </rich>
      </tx>
    </title>
    <plotArea>
      <lineChart>
        <grouping val="standard"/>
        <ser>
          <idx val="0"/>
          <order val="0"/>
          <tx>
            <strRef>
              <f>'05_Dashboard'!B22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'05_Dashboard'!$C$21:$N$21</f>
            </numRef>
          </cat>
          <val>
            <numRef>
              <f>'05_Dashboard'!$C$22:$N$22</f>
            </numRef>
          </val>
        </ser>
        <ser>
          <idx val="1"/>
          <order val="1"/>
          <tx>
            <strRef>
              <f>'05_Dashboard'!B23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'05_Dashboard'!$C$21:$N$21</f>
            </numRef>
          </cat>
          <val>
            <numRef>
              <f>'05_Dashboard'!$C$23:$N$23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$000s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OTIF %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'05_Dashboard'!B24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'05_Dashboard'!$C$21:$N$21</f>
            </numRef>
          </cat>
          <val>
            <numRef>
              <f>'05_Dashboard'!$C$24:$N$24</f>
            </numRef>
          </val>
        </ser>
        <ser>
          <idx val="1"/>
          <order val="1"/>
          <tx>
            <strRef>
              <f>'05_Dashboard'!B25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'05_Dashboard'!$C$21:$N$21</f>
            </numRef>
          </cat>
          <val>
            <numRef>
              <f>'05_Dashboard'!$C$25:$N$25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.9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28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28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2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2" customWidth="1" min="2" max="2"/>
  </cols>
  <sheetData>
    <row r="2">
      <c r="B2" s="1" t="inlineStr">
        <is>
          <t>Northline Consumer Products</t>
        </is>
      </c>
    </row>
    <row r="3">
      <c r="B3" s="2" t="inlineStr">
        <is>
          <t>Monthly KPI scorecard  ·  ops + finance  ·  actual vs target with RAG</t>
        </is>
      </c>
    </row>
    <row r="4">
      <c r="B4" s="3" t="inlineStr">
        <is>
          <t>FY2026 monthly  ·  12 KPIs  ·  fictional CPG company</t>
        </is>
      </c>
    </row>
    <row r="6">
      <c r="B6" s="4" t="inlineStr">
        <is>
          <t>What this file is</t>
        </is>
      </c>
    </row>
    <row r="7" ht="48" customHeight="1">
      <c r="B7" s="5" t="inlineStr">
        <is>
          <t>A twelve-month operating and finance scorecard for a fictional mid-size CPG company. Targets and RAG thresholds live on Assumptions; monthly actuals are inputs; the scorecard, YTD, trends, and dashboard are formulas (Green / Amber / Red).</t>
        </is>
      </c>
    </row>
    <row r="9">
      <c r="B9" s="4" t="inlineStr">
        <is>
          <t>How to use</t>
        </is>
      </c>
    </row>
    <row r="10">
      <c r="B10" t="inlineStr">
        <is>
          <t>1. Edit yellow cells on 01_Assumptions (KPI targets, direction H/L/R, amber/green bands, reporting month).</t>
        </is>
      </c>
    </row>
    <row r="11">
      <c r="B11" t="inlineStr">
        <is>
          <t>2. Paste or type monthly actuals on 02_Actuals (yellow).</t>
        </is>
      </c>
    </row>
    <row r="12">
      <c r="B12" t="inlineStr">
        <is>
          <t>3. Read actual vs target, variance, and RAG on 03_Scorecard — nothing on that tab is hardcoded.</t>
        </is>
      </c>
    </row>
    <row r="13">
      <c r="B13" t="inlineStr">
        <is>
          <t>4. Read MoM, rolling 3-month, YTD, and vs-target trends on 04_Trends.</t>
        </is>
      </c>
    </row>
    <row r="14">
      <c r="B14" t="inlineStr">
        <is>
          <t>5. Use 05_Dashboard as the one-pager (traffic-light tiles + charts).</t>
        </is>
      </c>
    </row>
    <row r="16">
      <c r="B16" s="4" t="inlineStr">
        <is>
          <t>File conventions</t>
        </is>
      </c>
    </row>
    <row r="17">
      <c r="B17" s="6" t="inlineStr">
        <is>
          <t>Yellow cells with blue font = inputs. Black font = formulas. Green cells = key outputs.</t>
        </is>
      </c>
    </row>
    <row r="18">
      <c r="B18" t="inlineStr">
        <is>
          <t>RAG: Green = meet/beat (or inside the range). Amber = miss inside the band. Red = miss beyond the band.</t>
        </is>
      </c>
    </row>
    <row r="19">
      <c r="B19" t="inlineStr">
        <is>
          <t>All figures are fictional. There is no employer data in this file. Dollar figures in $000s.</t>
        </is>
      </c>
    </row>
    <row r="21">
      <c r="B21" s="4" t="inlineStr">
        <is>
          <t>Portfolio</t>
        </is>
      </c>
    </row>
    <row r="22">
      <c r="B22" t="inlineStr">
        <is>
          <t>Sai Siri Bandaru — Financial Analyst | FP&amp;A | forecasting, variance analysis, Excel</t>
        </is>
      </c>
    </row>
    <row r="23">
      <c r="B23" s="7" t="inlineStr">
        <is>
          <t>https://github.com/saisiri-bandaru</t>
        </is>
      </c>
    </row>
  </sheetData>
  <pageMargins left="0.75" right="0.75" top="1" bottom="1" header="0.5" footer="0.5"/>
  <pageSetup orientation="landscape" paperSize="3" fitToHeight="1" fitToWidth="1"/>
  <headerFooter>
    <oddHeader/>
    <oddFooter>&amp;LNorthline Consumer Products  |  fictional sample&amp;RPage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7C948"/>
    <outlinePr summaryBelow="1" summaryRight="1"/>
    <pageSetUpPr fitToPage="1"/>
  </sheetPr>
  <dimension ref="B2:O47"/>
  <sheetViews>
    <sheetView showGridLines="0" workbookViewId="0">
      <pane xSplit="2" ySplit="21" topLeftCell="C2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8" customWidth="1" min="8" max="8"/>
    <col width="2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2">
      <c r="B2" s="1" t="inlineStr">
        <is>
          <t>Assumptions</t>
        </is>
      </c>
    </row>
    <row r="3">
      <c r="B3" s="3" t="inlineStr">
        <is>
          <t>Yellow + blue = inputs. Targets, direction, and RAG bands drive the scorecard.</t>
        </is>
      </c>
    </row>
    <row r="5">
      <c r="B5" t="inlineStr">
        <is>
          <t>Reporting month (1 = Jan-26 … 12 = Dec-26)</t>
        </is>
      </c>
      <c r="C5" s="8" t="n">
        <v>9</v>
      </c>
      <c r="D5" s="9">
        <f>INDEX({"Jan-26","Feb-26","Mar-26","Apr-26","May-26","Jun-26","Jul-26","Aug-26","Sep-26","Oct-26","Nov-26","Dec-26"},1,C5)</f>
        <v/>
      </c>
      <c r="E5" s="10" t="inlineStr">
        <is>
          <t>Scorecard as-of and dashboard INDEX to this month. Sample is parked in Sep so YTD is visible.</t>
        </is>
      </c>
    </row>
    <row r="7">
      <c r="B7" s="11" t="inlineStr">
        <is>
          <t>RAG rules</t>
        </is>
      </c>
    </row>
    <row r="8">
      <c r="B8" s="10" t="inlineStr">
        <is>
          <t>H  (higher-better): Green if actual ≥ target; Amber if actual ≥ target × (1 − amber band); else Red.</t>
        </is>
      </c>
    </row>
    <row r="9">
      <c r="B9" s="10" t="inlineStr">
        <is>
          <t>L  (lower-better): Green if actual ≤ target; Amber if actual ≤ target × (1 + amber band); else Red.</t>
        </is>
      </c>
    </row>
    <row r="10">
      <c r="B10" s="10" t="inlineStr">
        <is>
          <t>R  (range, e.g. headcount): Green if |actual/target − 1| ≤ green band; Amber if ≤ amber band; else Red.</t>
        </is>
      </c>
    </row>
    <row r="12">
      <c r="B12" s="11" t="inlineStr">
        <is>
          <t>KPI register</t>
        </is>
      </c>
      <c r="C12" s="12" t="n"/>
      <c r="D12" s="12" t="n"/>
      <c r="E12" s="12" t="n"/>
      <c r="F12" s="12" t="n"/>
      <c r="G12" s="12" t="n"/>
      <c r="H12" s="12" t="n"/>
      <c r="I12" s="12" t="n"/>
    </row>
    <row r="13">
      <c r="B13" s="13" t="inlineStr">
        <is>
          <t>KPI</t>
        </is>
      </c>
      <c r="C13" s="13" t="inlineStr">
        <is>
          <t>Unit</t>
        </is>
      </c>
      <c r="D13" s="13" t="inlineStr">
        <is>
          <t>Direction (H/L/R)</t>
        </is>
      </c>
      <c r="E13" s="13" t="inlineStr">
        <is>
          <t>Amber band</t>
        </is>
      </c>
      <c r="F13" s="13" t="inlineStr">
        <is>
          <t>Green band (R)</t>
        </is>
      </c>
      <c r="G13" s="13" t="inlineStr">
        <is>
          <t>Aggregation</t>
        </is>
      </c>
      <c r="H13" s="13" t="inlineStr">
        <is>
          <t>Polarity</t>
        </is>
      </c>
    </row>
    <row r="14">
      <c r="B14" s="14" t="inlineStr">
        <is>
          <t>Net revenue</t>
        </is>
      </c>
      <c r="C14" s="15" t="inlineStr">
        <is>
          <t>$000s</t>
        </is>
      </c>
      <c r="D14" s="16" t="inlineStr">
        <is>
          <t>H</t>
        </is>
      </c>
      <c r="E14" s="17" t="n">
        <v>0.03</v>
      </c>
      <c r="F14" s="17" t="n">
        <v>0.02</v>
      </c>
      <c r="G14" s="15" t="inlineStr">
        <is>
          <t>SUM</t>
        </is>
      </c>
      <c r="H14" s="15" t="inlineStr">
        <is>
          <t>Higher is better</t>
        </is>
      </c>
    </row>
    <row r="15">
      <c r="B15" s="14" t="inlineStr">
        <is>
          <t>Gross margin %</t>
        </is>
      </c>
      <c r="C15" s="15" t="inlineStr">
        <is>
          <t>%</t>
        </is>
      </c>
      <c r="D15" s="16" t="inlineStr">
        <is>
          <t>H</t>
        </is>
      </c>
      <c r="E15" s="17" t="n">
        <v>0.015</v>
      </c>
      <c r="F15" s="17" t="n">
        <v>0.008</v>
      </c>
      <c r="G15" s="15" t="inlineStr">
        <is>
          <t>AVG</t>
        </is>
      </c>
      <c r="H15" s="15" t="inlineStr">
        <is>
          <t>Higher is better</t>
        </is>
      </c>
    </row>
    <row r="16">
      <c r="B16" s="14" t="inlineStr">
        <is>
          <t>EBITDA</t>
        </is>
      </c>
      <c r="C16" s="15" t="inlineStr">
        <is>
          <t>$000s</t>
        </is>
      </c>
      <c r="D16" s="16" t="inlineStr">
        <is>
          <t>H</t>
        </is>
      </c>
      <c r="E16" s="17" t="n">
        <v>0.05</v>
      </c>
      <c r="F16" s="17" t="n">
        <v>0.02</v>
      </c>
      <c r="G16" s="15" t="inlineStr">
        <is>
          <t>SUM</t>
        </is>
      </c>
      <c r="H16" s="15" t="inlineStr">
        <is>
          <t>Higher is better</t>
        </is>
      </c>
    </row>
    <row r="17">
      <c r="B17" s="14" t="inlineStr">
        <is>
          <t>Volume</t>
        </is>
      </c>
      <c r="C17" s="15" t="inlineStr">
        <is>
          <t>000 cases</t>
        </is>
      </c>
      <c r="D17" s="16" t="inlineStr">
        <is>
          <t>H</t>
        </is>
      </c>
      <c r="E17" s="17" t="n">
        <v>0.03</v>
      </c>
      <c r="F17" s="17" t="n">
        <v>0.02</v>
      </c>
      <c r="G17" s="15" t="inlineStr">
        <is>
          <t>SUM</t>
        </is>
      </c>
      <c r="H17" s="15" t="inlineStr">
        <is>
          <t>Higher is better</t>
        </is>
      </c>
    </row>
    <row r="18">
      <c r="B18" s="14" t="inlineStr">
        <is>
          <t>OTIF %</t>
        </is>
      </c>
      <c r="C18" s="15" t="inlineStr">
        <is>
          <t>%</t>
        </is>
      </c>
      <c r="D18" s="16" t="inlineStr">
        <is>
          <t>H</t>
        </is>
      </c>
      <c r="E18" s="17" t="n">
        <v>0.02</v>
      </c>
      <c r="F18" s="17" t="n">
        <v>0.01</v>
      </c>
      <c r="G18" s="15" t="inlineStr">
        <is>
          <t>AVG</t>
        </is>
      </c>
      <c r="H18" s="15" t="inlineStr">
        <is>
          <t>Higher is better</t>
        </is>
      </c>
    </row>
    <row r="19">
      <c r="B19" s="14" t="inlineStr">
        <is>
          <t>Scrap %</t>
        </is>
      </c>
      <c r="C19" s="15" t="inlineStr">
        <is>
          <t>%</t>
        </is>
      </c>
      <c r="D19" s="16" t="inlineStr">
        <is>
          <t>L</t>
        </is>
      </c>
      <c r="E19" s="17" t="n">
        <v>0.15</v>
      </c>
      <c r="F19" s="17" t="n">
        <v>0.05</v>
      </c>
      <c r="G19" s="15" t="inlineStr">
        <is>
          <t>AVG</t>
        </is>
      </c>
      <c r="H19" s="15" t="inlineStr">
        <is>
          <t>Lower is better</t>
        </is>
      </c>
    </row>
    <row r="20">
      <c r="B20" s="14" t="inlineStr">
        <is>
          <t>DSO</t>
        </is>
      </c>
      <c r="C20" s="15" t="inlineStr">
        <is>
          <t>days</t>
        </is>
      </c>
      <c r="D20" s="16" t="inlineStr">
        <is>
          <t>L</t>
        </is>
      </c>
      <c r="E20" s="17" t="n">
        <v>0.08</v>
      </c>
      <c r="F20" s="17" t="n">
        <v>0.03</v>
      </c>
      <c r="G20" s="15" t="inlineStr">
        <is>
          <t>LAST</t>
        </is>
      </c>
      <c r="H20" s="15" t="inlineStr">
        <is>
          <t>Lower is better</t>
        </is>
      </c>
    </row>
    <row r="21">
      <c r="B21" s="14" t="inlineStr">
        <is>
          <t>CCC</t>
        </is>
      </c>
      <c r="C21" s="15" t="inlineStr">
        <is>
          <t>days</t>
        </is>
      </c>
      <c r="D21" s="16" t="inlineStr">
        <is>
          <t>L</t>
        </is>
      </c>
      <c r="E21" s="17" t="n">
        <v>0.08</v>
      </c>
      <c r="F21" s="17" t="n">
        <v>0.03</v>
      </c>
      <c r="G21" s="15" t="inlineStr">
        <is>
          <t>LAST</t>
        </is>
      </c>
      <c r="H21" s="15" t="inlineStr">
        <is>
          <t>Lower is better</t>
        </is>
      </c>
    </row>
    <row r="22">
      <c r="B22" s="14" t="inlineStr">
        <is>
          <t>Headcount</t>
        </is>
      </c>
      <c r="C22" s="15" t="inlineStr">
        <is>
          <t>FTE</t>
        </is>
      </c>
      <c r="D22" s="16" t="inlineStr">
        <is>
          <t>R</t>
        </is>
      </c>
      <c r="E22" s="17" t="n">
        <v>0.03</v>
      </c>
      <c r="F22" s="17" t="n">
        <v>0.015</v>
      </c>
      <c r="G22" s="15" t="inlineStr">
        <is>
          <t>LAST</t>
        </is>
      </c>
      <c r="H22" s="15" t="inlineStr">
        <is>
          <t>Hit the plan (range)</t>
        </is>
      </c>
    </row>
    <row r="23">
      <c r="B23" s="14" t="inlineStr">
        <is>
          <t>Attrition % (ann.)</t>
        </is>
      </c>
      <c r="C23" s="15" t="inlineStr">
        <is>
          <t>%</t>
        </is>
      </c>
      <c r="D23" s="16" t="inlineStr">
        <is>
          <t>L</t>
        </is>
      </c>
      <c r="E23" s="17" t="n">
        <v>0.15</v>
      </c>
      <c r="F23" s="17" t="n">
        <v>0.05</v>
      </c>
      <c r="G23" s="15" t="inlineStr">
        <is>
          <t>AVG</t>
        </is>
      </c>
      <c r="H23" s="15" t="inlineStr">
        <is>
          <t>Lower is better</t>
        </is>
      </c>
    </row>
    <row r="24">
      <c r="B24" s="14" t="inlineStr">
        <is>
          <t>Operating cash flow</t>
        </is>
      </c>
      <c r="C24" s="15" t="inlineStr">
        <is>
          <t>$000s</t>
        </is>
      </c>
      <c r="D24" s="16" t="inlineStr">
        <is>
          <t>H</t>
        </is>
      </c>
      <c r="E24" s="17" t="n">
        <v>0.1</v>
      </c>
      <c r="F24" s="17" t="n">
        <v>0.04</v>
      </c>
      <c r="G24" s="15" t="inlineStr">
        <is>
          <t>SUM</t>
        </is>
      </c>
      <c r="H24" s="15" t="inlineStr">
        <is>
          <t>Higher is better</t>
        </is>
      </c>
    </row>
    <row r="25">
      <c r="B25" s="14" t="inlineStr">
        <is>
          <t>SG&amp;A % of sales</t>
        </is>
      </c>
      <c r="C25" s="15" t="inlineStr">
        <is>
          <t>%</t>
        </is>
      </c>
      <c r="D25" s="16" t="inlineStr">
        <is>
          <t>L</t>
        </is>
      </c>
      <c r="E25" s="17" t="n">
        <v>0.04</v>
      </c>
      <c r="F25" s="17" t="n">
        <v>0.015</v>
      </c>
      <c r="G25" s="15" t="inlineStr">
        <is>
          <t>AVG</t>
        </is>
      </c>
      <c r="H25" s="15" t="inlineStr">
        <is>
          <t>Lower is better</t>
        </is>
      </c>
    </row>
    <row r="27">
      <c r="B27" s="11" t="inlineStr">
        <is>
          <t>Monthly targets — FY2026 (inputs)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</row>
    <row r="28">
      <c r="C28" s="13" t="inlineStr">
        <is>
          <t>Jan-26</t>
        </is>
      </c>
      <c r="D28" s="13" t="inlineStr">
        <is>
          <t>Feb-26</t>
        </is>
      </c>
      <c r="E28" s="13" t="inlineStr">
        <is>
          <t>Mar-26</t>
        </is>
      </c>
      <c r="F28" s="13" t="inlineStr">
        <is>
          <t>Apr-26</t>
        </is>
      </c>
      <c r="G28" s="13" t="inlineStr">
        <is>
          <t>May-26</t>
        </is>
      </c>
      <c r="H28" s="13" t="inlineStr">
        <is>
          <t>Jun-26</t>
        </is>
      </c>
      <c r="I28" s="13" t="inlineStr">
        <is>
          <t>Jul-26</t>
        </is>
      </c>
      <c r="J28" s="13" t="inlineStr">
        <is>
          <t>Aug-26</t>
        </is>
      </c>
      <c r="K28" s="13" t="inlineStr">
        <is>
          <t>Sep-26</t>
        </is>
      </c>
      <c r="L28" s="13" t="inlineStr">
        <is>
          <t>Oct-26</t>
        </is>
      </c>
      <c r="M28" s="13" t="inlineStr">
        <is>
          <t>Nov-26</t>
        </is>
      </c>
      <c r="N28" s="13" t="inlineStr">
        <is>
          <t>Dec-26</t>
        </is>
      </c>
      <c r="O28" s="13" t="inlineStr">
        <is>
          <t>FY26</t>
        </is>
      </c>
    </row>
    <row r="29">
      <c r="B29" s="15" t="inlineStr">
        <is>
          <t>Net revenue</t>
        </is>
      </c>
      <c r="C29" s="18" t="n">
        <v>71000</v>
      </c>
      <c r="D29" s="18" t="n">
        <v>68000</v>
      </c>
      <c r="E29" s="18" t="n">
        <v>73500</v>
      </c>
      <c r="F29" s="18" t="n">
        <v>75000</v>
      </c>
      <c r="G29" s="18" t="n">
        <v>77500</v>
      </c>
      <c r="H29" s="18" t="n">
        <v>79000</v>
      </c>
      <c r="I29" s="18" t="n">
        <v>80500</v>
      </c>
      <c r="J29" s="18" t="n">
        <v>79800</v>
      </c>
      <c r="K29" s="18" t="n">
        <v>77200</v>
      </c>
      <c r="L29" s="18" t="n">
        <v>82000</v>
      </c>
      <c r="M29" s="18" t="n">
        <v>87500</v>
      </c>
      <c r="N29" s="18" t="n">
        <v>94000</v>
      </c>
      <c r="O29" s="19">
        <f>SUM(C29:N29)</f>
        <v/>
      </c>
    </row>
    <row r="30">
      <c r="B30" s="15" t="inlineStr">
        <is>
          <t>Gross margin %</t>
        </is>
      </c>
      <c r="C30" s="17" t="n">
        <v>0.422</v>
      </c>
      <c r="D30" s="17" t="n">
        <v>0.422</v>
      </c>
      <c r="E30" s="17" t="n">
        <v>0.424</v>
      </c>
      <c r="F30" s="17" t="n">
        <v>0.425</v>
      </c>
      <c r="G30" s="17" t="n">
        <v>0.426</v>
      </c>
      <c r="H30" s="17" t="n">
        <v>0.427</v>
      </c>
      <c r="I30" s="17" t="n">
        <v>0.427</v>
      </c>
      <c r="J30" s="17" t="n">
        <v>0.426</v>
      </c>
      <c r="K30" s="17" t="n">
        <v>0.425</v>
      </c>
      <c r="L30" s="17" t="n">
        <v>0.428</v>
      </c>
      <c r="M30" s="17" t="n">
        <v>0.43</v>
      </c>
      <c r="N30" s="17" t="n">
        <v>0.432</v>
      </c>
      <c r="O30" s="20">
        <f>AVERAGE(C30:N30)</f>
        <v/>
      </c>
    </row>
    <row r="31">
      <c r="B31" s="15" t="inlineStr">
        <is>
          <t>EBITDA</t>
        </is>
      </c>
      <c r="C31" s="18" t="n">
        <v>10295</v>
      </c>
      <c r="D31" s="18" t="n">
        <v>9860</v>
      </c>
      <c r="E31" s="18" t="n">
        <v>10658</v>
      </c>
      <c r="F31" s="18" t="n">
        <v>10875</v>
      </c>
      <c r="G31" s="18" t="n">
        <v>11238</v>
      </c>
      <c r="H31" s="18" t="n">
        <v>11455</v>
      </c>
      <c r="I31" s="18" t="n">
        <v>11672</v>
      </c>
      <c r="J31" s="18" t="n">
        <v>11571</v>
      </c>
      <c r="K31" s="18" t="n">
        <v>11194</v>
      </c>
      <c r="L31" s="18" t="n">
        <v>11890</v>
      </c>
      <c r="M31" s="18" t="n">
        <v>12688</v>
      </c>
      <c r="N31" s="18" t="n">
        <v>13630</v>
      </c>
      <c r="O31" s="19">
        <f>SUM(C31:N31)</f>
        <v/>
      </c>
    </row>
    <row r="32">
      <c r="B32" s="15" t="inlineStr">
        <is>
          <t>Volume</t>
        </is>
      </c>
      <c r="C32" s="21" t="n">
        <v>5917</v>
      </c>
      <c r="D32" s="21" t="n">
        <v>5667</v>
      </c>
      <c r="E32" s="21" t="n">
        <v>6125</v>
      </c>
      <c r="F32" s="21" t="n">
        <v>6250</v>
      </c>
      <c r="G32" s="21" t="n">
        <v>6458</v>
      </c>
      <c r="H32" s="21" t="n">
        <v>6583</v>
      </c>
      <c r="I32" s="21" t="n">
        <v>6708</v>
      </c>
      <c r="J32" s="21" t="n">
        <v>6650</v>
      </c>
      <c r="K32" s="21" t="n">
        <v>6433</v>
      </c>
      <c r="L32" s="21" t="n">
        <v>6833</v>
      </c>
      <c r="M32" s="21" t="n">
        <v>7292</v>
      </c>
      <c r="N32" s="21" t="n">
        <v>7833</v>
      </c>
      <c r="O32" s="22">
        <f>SUM(C32:N32)</f>
        <v/>
      </c>
    </row>
    <row r="33">
      <c r="B33" s="15" t="inlineStr">
        <is>
          <t>OTIF %</t>
        </is>
      </c>
      <c r="C33" s="17" t="n">
        <v>0.97</v>
      </c>
      <c r="D33" s="17" t="n">
        <v>0.97</v>
      </c>
      <c r="E33" s="17" t="n">
        <v>0.97</v>
      </c>
      <c r="F33" s="17" t="n">
        <v>0.97</v>
      </c>
      <c r="G33" s="17" t="n">
        <v>0.97</v>
      </c>
      <c r="H33" s="17" t="n">
        <v>0.97</v>
      </c>
      <c r="I33" s="17" t="n">
        <v>0.97</v>
      </c>
      <c r="J33" s="17" t="n">
        <v>0.97</v>
      </c>
      <c r="K33" s="17" t="n">
        <v>0.97</v>
      </c>
      <c r="L33" s="17" t="n">
        <v>0.97</v>
      </c>
      <c r="M33" s="17" t="n">
        <v>0.97</v>
      </c>
      <c r="N33" s="17" t="n">
        <v>0.97</v>
      </c>
      <c r="O33" s="20">
        <f>AVERAGE(C33:N33)</f>
        <v/>
      </c>
    </row>
    <row r="34">
      <c r="B34" s="15" t="inlineStr">
        <is>
          <t>Scrap %</t>
        </is>
      </c>
      <c r="C34" s="17" t="n">
        <v>0.018</v>
      </c>
      <c r="D34" s="17" t="n">
        <v>0.018</v>
      </c>
      <c r="E34" s="17" t="n">
        <v>0.018</v>
      </c>
      <c r="F34" s="17" t="n">
        <v>0.018</v>
      </c>
      <c r="G34" s="17" t="n">
        <v>0.018</v>
      </c>
      <c r="H34" s="17" t="n">
        <v>0.018</v>
      </c>
      <c r="I34" s="17" t="n">
        <v>0.018</v>
      </c>
      <c r="J34" s="17" t="n">
        <v>0.018</v>
      </c>
      <c r="K34" s="17" t="n">
        <v>0.018</v>
      </c>
      <c r="L34" s="17" t="n">
        <v>0.018</v>
      </c>
      <c r="M34" s="17" t="n">
        <v>0.018</v>
      </c>
      <c r="N34" s="17" t="n">
        <v>0.018</v>
      </c>
      <c r="O34" s="20">
        <f>AVERAGE(C34:N34)</f>
        <v/>
      </c>
    </row>
    <row r="35">
      <c r="B35" s="15" t="inlineStr">
        <is>
          <t>DSO</t>
        </is>
      </c>
      <c r="C35" s="23" t="n">
        <v>42</v>
      </c>
      <c r="D35" s="23" t="n">
        <v>42</v>
      </c>
      <c r="E35" s="23" t="n">
        <v>42</v>
      </c>
      <c r="F35" s="23" t="n">
        <v>42</v>
      </c>
      <c r="G35" s="23" t="n">
        <v>42</v>
      </c>
      <c r="H35" s="23" t="n">
        <v>42</v>
      </c>
      <c r="I35" s="23" t="n">
        <v>42</v>
      </c>
      <c r="J35" s="23" t="n">
        <v>42</v>
      </c>
      <c r="K35" s="23" t="n">
        <v>42</v>
      </c>
      <c r="L35" s="23" t="n">
        <v>42</v>
      </c>
      <c r="M35" s="23" t="n">
        <v>42</v>
      </c>
      <c r="N35" s="23" t="n">
        <v>42</v>
      </c>
      <c r="O35" s="24">
        <f>N35</f>
        <v/>
      </c>
    </row>
    <row r="36">
      <c r="B36" s="15" t="inlineStr">
        <is>
          <t>CCC</t>
        </is>
      </c>
      <c r="C36" s="23" t="n">
        <v>62</v>
      </c>
      <c r="D36" s="23" t="n">
        <v>62</v>
      </c>
      <c r="E36" s="23" t="n">
        <v>62</v>
      </c>
      <c r="F36" s="23" t="n">
        <v>62</v>
      </c>
      <c r="G36" s="23" t="n">
        <v>62</v>
      </c>
      <c r="H36" s="23" t="n">
        <v>62</v>
      </c>
      <c r="I36" s="23" t="n">
        <v>62</v>
      </c>
      <c r="J36" s="23" t="n">
        <v>62</v>
      </c>
      <c r="K36" s="23" t="n">
        <v>62</v>
      </c>
      <c r="L36" s="23" t="n">
        <v>62</v>
      </c>
      <c r="M36" s="23" t="n">
        <v>62</v>
      </c>
      <c r="N36" s="23" t="n">
        <v>62</v>
      </c>
      <c r="O36" s="24">
        <f>N36</f>
        <v/>
      </c>
    </row>
    <row r="37">
      <c r="B37" s="15" t="inlineStr">
        <is>
          <t>Headcount</t>
        </is>
      </c>
      <c r="C37" s="23" t="n">
        <v>286.5</v>
      </c>
      <c r="D37" s="23" t="n">
        <v>287.8</v>
      </c>
      <c r="E37" s="23" t="n">
        <v>289.2</v>
      </c>
      <c r="F37" s="23" t="n">
        <v>291</v>
      </c>
      <c r="G37" s="23" t="n">
        <v>292.4</v>
      </c>
      <c r="H37" s="23" t="n">
        <v>294.1</v>
      </c>
      <c r="I37" s="23" t="n">
        <v>297</v>
      </c>
      <c r="J37" s="23" t="n">
        <v>298.4</v>
      </c>
      <c r="K37" s="23" t="n">
        <v>299.1</v>
      </c>
      <c r="L37" s="23" t="n">
        <v>302.3</v>
      </c>
      <c r="M37" s="23" t="n">
        <v>303.5</v>
      </c>
      <c r="N37" s="23" t="n">
        <v>304.8</v>
      </c>
      <c r="O37" s="24">
        <f>N37</f>
        <v/>
      </c>
    </row>
    <row r="38">
      <c r="B38" s="15" t="inlineStr">
        <is>
          <t>Attrition % (ann.)</t>
        </is>
      </c>
      <c r="C38" s="17" t="n">
        <v>0.12</v>
      </c>
      <c r="D38" s="17" t="n">
        <v>0.12</v>
      </c>
      <c r="E38" s="17" t="n">
        <v>0.12</v>
      </c>
      <c r="F38" s="17" t="n">
        <v>0.12</v>
      </c>
      <c r="G38" s="17" t="n">
        <v>0.12</v>
      </c>
      <c r="H38" s="17" t="n">
        <v>0.12</v>
      </c>
      <c r="I38" s="17" t="n">
        <v>0.12</v>
      </c>
      <c r="J38" s="17" t="n">
        <v>0.12</v>
      </c>
      <c r="K38" s="17" t="n">
        <v>0.12</v>
      </c>
      <c r="L38" s="17" t="n">
        <v>0.12</v>
      </c>
      <c r="M38" s="17" t="n">
        <v>0.12</v>
      </c>
      <c r="N38" s="17" t="n">
        <v>0.12</v>
      </c>
      <c r="O38" s="20">
        <f>AVERAGE(C38:N38)</f>
        <v/>
      </c>
    </row>
    <row r="39">
      <c r="B39" s="15" t="inlineStr">
        <is>
          <t>Operating cash flow</t>
        </is>
      </c>
      <c r="C39" s="18" t="n">
        <v>5680</v>
      </c>
      <c r="D39" s="18" t="n">
        <v>5440</v>
      </c>
      <c r="E39" s="18" t="n">
        <v>5880</v>
      </c>
      <c r="F39" s="18" t="n">
        <v>6000</v>
      </c>
      <c r="G39" s="18" t="n">
        <v>6200</v>
      </c>
      <c r="H39" s="18" t="n">
        <v>6320</v>
      </c>
      <c r="I39" s="18" t="n">
        <v>6440</v>
      </c>
      <c r="J39" s="18" t="n">
        <v>6384</v>
      </c>
      <c r="K39" s="18" t="n">
        <v>6176</v>
      </c>
      <c r="L39" s="18" t="n">
        <v>6560</v>
      </c>
      <c r="M39" s="18" t="n">
        <v>7000</v>
      </c>
      <c r="N39" s="18" t="n">
        <v>7520</v>
      </c>
      <c r="O39" s="19">
        <f>SUM(C39:N39)</f>
        <v/>
      </c>
    </row>
    <row r="40">
      <c r="B40" s="15" t="inlineStr">
        <is>
          <t>SG&amp;A % of sales</t>
        </is>
      </c>
      <c r="C40" s="17" t="n">
        <v>0.185</v>
      </c>
      <c r="D40" s="17" t="n">
        <v>0.185</v>
      </c>
      <c r="E40" s="17" t="n">
        <v>0.185</v>
      </c>
      <c r="F40" s="17" t="n">
        <v>0.185</v>
      </c>
      <c r="G40" s="17" t="n">
        <v>0.185</v>
      </c>
      <c r="H40" s="17" t="n">
        <v>0.185</v>
      </c>
      <c r="I40" s="17" t="n">
        <v>0.185</v>
      </c>
      <c r="J40" s="17" t="n">
        <v>0.185</v>
      </c>
      <c r="K40" s="17" t="n">
        <v>0.185</v>
      </c>
      <c r="L40" s="17" t="n">
        <v>0.185</v>
      </c>
      <c r="M40" s="17" t="n">
        <v>0.185</v>
      </c>
      <c r="N40" s="17" t="n">
        <v>0.185</v>
      </c>
      <c r="O40" s="20">
        <f>AVERAGE(C40:N40)</f>
        <v/>
      </c>
    </row>
    <row r="42">
      <c r="B42" s="11" t="inlineStr">
        <is>
          <t>FY25 actuals (for YoY on Trends) — revenue and volume only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</row>
    <row r="43">
      <c r="C43" s="13" t="inlineStr">
        <is>
          <t>Jan-26</t>
        </is>
      </c>
      <c r="D43" s="13" t="inlineStr">
        <is>
          <t>Feb-26</t>
        </is>
      </c>
      <c r="E43" s="13" t="inlineStr">
        <is>
          <t>Mar-26</t>
        </is>
      </c>
      <c r="F43" s="13" t="inlineStr">
        <is>
          <t>Apr-26</t>
        </is>
      </c>
      <c r="G43" s="13" t="inlineStr">
        <is>
          <t>May-26</t>
        </is>
      </c>
      <c r="H43" s="13" t="inlineStr">
        <is>
          <t>Jun-26</t>
        </is>
      </c>
      <c r="I43" s="13" t="inlineStr">
        <is>
          <t>Jul-26</t>
        </is>
      </c>
      <c r="J43" s="13" t="inlineStr">
        <is>
          <t>Aug-26</t>
        </is>
      </c>
      <c r="K43" s="13" t="inlineStr">
        <is>
          <t>Sep-26</t>
        </is>
      </c>
      <c r="L43" s="13" t="inlineStr">
        <is>
          <t>Oct-26</t>
        </is>
      </c>
      <c r="M43" s="13" t="inlineStr">
        <is>
          <t>Nov-26</t>
        </is>
      </c>
      <c r="N43" s="13" t="inlineStr">
        <is>
          <t>Dec-26</t>
        </is>
      </c>
      <c r="O43" s="13" t="inlineStr">
        <is>
          <t>FY25</t>
        </is>
      </c>
    </row>
    <row r="44">
      <c r="B44" t="inlineStr">
        <is>
          <t>Net revenue FY25</t>
        </is>
      </c>
      <c r="C44" s="18" t="n">
        <v>66000</v>
      </c>
      <c r="D44" s="18" t="n">
        <v>64000</v>
      </c>
      <c r="E44" s="18" t="n">
        <v>69000</v>
      </c>
      <c r="F44" s="18" t="n">
        <v>70500</v>
      </c>
      <c r="G44" s="18" t="n">
        <v>72000</v>
      </c>
      <c r="H44" s="18" t="n">
        <v>73500</v>
      </c>
      <c r="I44" s="18" t="n">
        <v>75000</v>
      </c>
      <c r="J44" s="18" t="n">
        <v>74200</v>
      </c>
      <c r="K44" s="18" t="n">
        <v>72800</v>
      </c>
      <c r="L44" s="18" t="n">
        <v>76000</v>
      </c>
      <c r="M44" s="18" t="n">
        <v>80500</v>
      </c>
      <c r="N44" s="18" t="n">
        <v>87000</v>
      </c>
      <c r="O44" s="19">
        <f>SUM(C44:N44)</f>
        <v/>
      </c>
    </row>
    <row r="45">
      <c r="B45" t="inlineStr">
        <is>
          <t>Volume FY25</t>
        </is>
      </c>
      <c r="C45" s="21" t="n">
        <v>5500</v>
      </c>
      <c r="D45" s="21" t="n">
        <v>5333</v>
      </c>
      <c r="E45" s="21" t="n">
        <v>5750</v>
      </c>
      <c r="F45" s="21" t="n">
        <v>5875</v>
      </c>
      <c r="G45" s="21" t="n">
        <v>6000</v>
      </c>
      <c r="H45" s="21" t="n">
        <v>6125</v>
      </c>
      <c r="I45" s="21" t="n">
        <v>6250</v>
      </c>
      <c r="J45" s="21" t="n">
        <v>6183</v>
      </c>
      <c r="K45" s="21" t="n">
        <v>6067</v>
      </c>
      <c r="L45" s="21" t="n">
        <v>6333</v>
      </c>
      <c r="M45" s="21" t="n">
        <v>6708</v>
      </c>
      <c r="N45" s="21" t="n">
        <v>7250</v>
      </c>
      <c r="O45" s="25">
        <f>SUM(C45:N45)</f>
        <v/>
      </c>
    </row>
    <row r="47">
      <c r="B47" s="10" t="inlineStr">
        <is>
          <t>Aggregation: SUM for flow KPIs (revenue, EBITDA, volume, cash). AVG for rates. LAST for stocks (DSO, CCC, headcount).</t>
        </is>
      </c>
    </row>
  </sheetData>
  <pageMargins left="0.75" right="0.75" top="1" bottom="1" header="0.5" footer="0.5"/>
  <pageSetup orientation="landscape" paperSize="3" fitToHeight="0" fitToWidth="1"/>
  <headerFooter>
    <oddHeader/>
    <oddFooter>&amp;LNorthline Consumer Products  |  fictional sample&amp;RPage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B2:O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1" t="inlineStr">
        <is>
          <t>Monthly actuals — FY2026</t>
        </is>
      </c>
    </row>
    <row r="3">
      <c r="B3" s="3" t="inlineStr">
        <is>
          <t>Yellow + blue = inputs. Paste a new month here; scorecard, trends, and dashboard recalculate.</t>
        </is>
      </c>
    </row>
    <row r="5">
      <c r="B5" s="11" t="inlineStr">
        <is>
          <t>Actuals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C6" s="13" t="inlineStr">
        <is>
          <t>Jan-26</t>
        </is>
      </c>
      <c r="D6" s="13" t="inlineStr">
        <is>
          <t>Feb-26</t>
        </is>
      </c>
      <c r="E6" s="13" t="inlineStr">
        <is>
          <t>Mar-26</t>
        </is>
      </c>
      <c r="F6" s="13" t="inlineStr">
        <is>
          <t>Apr-26</t>
        </is>
      </c>
      <c r="G6" s="13" t="inlineStr">
        <is>
          <t>May-26</t>
        </is>
      </c>
      <c r="H6" s="13" t="inlineStr">
        <is>
          <t>Jun-26</t>
        </is>
      </c>
      <c r="I6" s="13" t="inlineStr">
        <is>
          <t>Jul-26</t>
        </is>
      </c>
      <c r="J6" s="13" t="inlineStr">
        <is>
          <t>Aug-26</t>
        </is>
      </c>
      <c r="K6" s="13" t="inlineStr">
        <is>
          <t>Sep-26</t>
        </is>
      </c>
      <c r="L6" s="13" t="inlineStr">
        <is>
          <t>Oct-26</t>
        </is>
      </c>
      <c r="M6" s="13" t="inlineStr">
        <is>
          <t>Nov-26</t>
        </is>
      </c>
      <c r="N6" s="13" t="inlineStr">
        <is>
          <t>Dec-26</t>
        </is>
      </c>
      <c r="O6" s="13" t="inlineStr">
        <is>
          <t>FY26</t>
        </is>
      </c>
    </row>
    <row r="7">
      <c r="B7" s="14" t="inlineStr">
        <is>
          <t>Net revenue</t>
        </is>
      </c>
      <c r="C7" s="18" t="n">
        <v>70200</v>
      </c>
      <c r="D7" s="18" t="n">
        <v>67400</v>
      </c>
      <c r="E7" s="18" t="n">
        <v>74100</v>
      </c>
      <c r="F7" s="18" t="n">
        <v>73800</v>
      </c>
      <c r="G7" s="18" t="n">
        <v>78200</v>
      </c>
      <c r="H7" s="18" t="n">
        <v>80100</v>
      </c>
      <c r="I7" s="18" t="n">
        <v>79800</v>
      </c>
      <c r="J7" s="18" t="n">
        <v>80500</v>
      </c>
      <c r="K7" s="18" t="n">
        <v>76500</v>
      </c>
      <c r="L7" s="18" t="n">
        <v>83400</v>
      </c>
      <c r="M7" s="18" t="n">
        <v>89200</v>
      </c>
      <c r="N7" s="18" t="n">
        <v>95800</v>
      </c>
      <c r="O7" s="19">
        <f>SUM(C7:N7)</f>
        <v/>
      </c>
    </row>
    <row r="8">
      <c r="B8" s="14" t="inlineStr">
        <is>
          <t>Gross margin %</t>
        </is>
      </c>
      <c r="C8" s="17" t="n">
        <v>0.418</v>
      </c>
      <c r="D8" s="17" t="n">
        <v>0.415</v>
      </c>
      <c r="E8" s="17" t="n">
        <v>0.422</v>
      </c>
      <c r="F8" s="17" t="n">
        <v>0.425</v>
      </c>
      <c r="G8" s="17" t="n">
        <v>0.428</v>
      </c>
      <c r="H8" s="17" t="n">
        <v>0.43</v>
      </c>
      <c r="I8" s="17" t="n">
        <v>0.427</v>
      </c>
      <c r="J8" s="17" t="n">
        <v>0.424</v>
      </c>
      <c r="K8" s="17" t="n">
        <v>0.421</v>
      </c>
      <c r="L8" s="17" t="n">
        <v>0.426</v>
      </c>
      <c r="M8" s="17" t="n">
        <v>0.432</v>
      </c>
      <c r="N8" s="17" t="n">
        <v>0.435</v>
      </c>
      <c r="O8" s="20">
        <f>AVERAGE(C8:N8)</f>
        <v/>
      </c>
    </row>
    <row r="9">
      <c r="B9" s="14" t="inlineStr">
        <is>
          <t>EBITDA</t>
        </is>
      </c>
      <c r="C9" s="18" t="n">
        <v>9688</v>
      </c>
      <c r="D9" s="18" t="n">
        <v>9166</v>
      </c>
      <c r="E9" s="18" t="n">
        <v>10670</v>
      </c>
      <c r="F9" s="18" t="n">
        <v>10849</v>
      </c>
      <c r="G9" s="18" t="n">
        <v>11652</v>
      </c>
      <c r="H9" s="18" t="n">
        <v>12095</v>
      </c>
      <c r="I9" s="18" t="n">
        <v>11651</v>
      </c>
      <c r="J9" s="18" t="n">
        <v>11511</v>
      </c>
      <c r="K9" s="18" t="n">
        <v>10786</v>
      </c>
      <c r="L9" s="18" t="n">
        <v>12343</v>
      </c>
      <c r="M9" s="18" t="n">
        <v>13558</v>
      </c>
      <c r="N9" s="18" t="n">
        <v>14753</v>
      </c>
      <c r="O9" s="19">
        <f>SUM(C9:N9)</f>
        <v/>
      </c>
    </row>
    <row r="10">
      <c r="B10" s="14" t="inlineStr">
        <is>
          <t>Volume</t>
        </is>
      </c>
      <c r="C10" s="21" t="n">
        <v>5792</v>
      </c>
      <c r="D10" s="21" t="n">
        <v>5532</v>
      </c>
      <c r="E10" s="21" t="n">
        <v>6237</v>
      </c>
      <c r="F10" s="21" t="n">
        <v>6027</v>
      </c>
      <c r="G10" s="21" t="n">
        <v>6614</v>
      </c>
      <c r="H10" s="21" t="n">
        <v>6808</v>
      </c>
      <c r="I10" s="21" t="n">
        <v>6584</v>
      </c>
      <c r="J10" s="21" t="n">
        <v>6775</v>
      </c>
      <c r="K10" s="21" t="n">
        <v>6279</v>
      </c>
      <c r="L10" s="21" t="n">
        <v>7089</v>
      </c>
      <c r="M10" s="21" t="n">
        <v>7619</v>
      </c>
      <c r="N10" s="21" t="n">
        <v>8223</v>
      </c>
      <c r="O10" s="22">
        <f>SUM(C10:N10)</f>
        <v/>
      </c>
    </row>
    <row r="11">
      <c r="B11" s="14" t="inlineStr">
        <is>
          <t>OTIF %</t>
        </is>
      </c>
      <c r="C11" s="17" t="n">
        <v>0.962</v>
      </c>
      <c r="D11" s="17" t="n">
        <v>0.951</v>
      </c>
      <c r="E11" s="17" t="n">
        <v>0.974</v>
      </c>
      <c r="F11" s="17" t="n">
        <v>0.978</v>
      </c>
      <c r="G11" s="17" t="n">
        <v>0.969</v>
      </c>
      <c r="H11" s="17" t="n">
        <v>0.975</v>
      </c>
      <c r="I11" s="17" t="n">
        <v>0.948</v>
      </c>
      <c r="J11" s="17" t="n">
        <v>0.961</v>
      </c>
      <c r="K11" s="17" t="n">
        <v>0.97</v>
      </c>
      <c r="L11" s="17" t="n">
        <v>0.976</v>
      </c>
      <c r="M11" s="17" t="n">
        <v>0.981</v>
      </c>
      <c r="N11" s="17" t="n">
        <v>0.964</v>
      </c>
      <c r="O11" s="20">
        <f>AVERAGE(C11:N11)</f>
        <v/>
      </c>
    </row>
    <row r="12">
      <c r="B12" s="14" t="inlineStr">
        <is>
          <t>Scrap %</t>
        </is>
      </c>
      <c r="C12" s="17" t="n">
        <v>0.021</v>
      </c>
      <c r="D12" s="17" t="n">
        <v>0.024</v>
      </c>
      <c r="E12" s="17" t="n">
        <v>0.019</v>
      </c>
      <c r="F12" s="17" t="n">
        <v>0.017</v>
      </c>
      <c r="G12" s="17" t="n">
        <v>0.018</v>
      </c>
      <c r="H12" s="17" t="n">
        <v>0.016</v>
      </c>
      <c r="I12" s="17" t="n">
        <v>0.022</v>
      </c>
      <c r="J12" s="17" t="n">
        <v>0.02</v>
      </c>
      <c r="K12" s="17" t="n">
        <v>0.019</v>
      </c>
      <c r="L12" s="17" t="n">
        <v>0.017</v>
      </c>
      <c r="M12" s="17" t="n">
        <v>0.015</v>
      </c>
      <c r="N12" s="17" t="n">
        <v>0.016</v>
      </c>
      <c r="O12" s="20">
        <f>AVERAGE(C12:N12)</f>
        <v/>
      </c>
    </row>
    <row r="13">
      <c r="B13" s="14" t="inlineStr">
        <is>
          <t>DSO</t>
        </is>
      </c>
      <c r="C13" s="23" t="n">
        <v>44.2</v>
      </c>
      <c r="D13" s="23" t="n">
        <v>45.1</v>
      </c>
      <c r="E13" s="23" t="n">
        <v>43.6</v>
      </c>
      <c r="F13" s="23" t="n">
        <v>42.9</v>
      </c>
      <c r="G13" s="23" t="n">
        <v>41.4</v>
      </c>
      <c r="H13" s="23" t="n">
        <v>42.1</v>
      </c>
      <c r="I13" s="23" t="n">
        <v>43</v>
      </c>
      <c r="J13" s="23" t="n">
        <v>44.2</v>
      </c>
      <c r="K13" s="23" t="n">
        <v>42.5</v>
      </c>
      <c r="L13" s="23" t="n">
        <v>41.2</v>
      </c>
      <c r="M13" s="23" t="n">
        <v>40</v>
      </c>
      <c r="N13" s="23" t="n">
        <v>41.6</v>
      </c>
      <c r="O13" s="24">
        <f>N13</f>
        <v/>
      </c>
    </row>
    <row r="14">
      <c r="B14" s="14" t="inlineStr">
        <is>
          <t>CCC</t>
        </is>
      </c>
      <c r="C14" s="23" t="n">
        <v>68.5</v>
      </c>
      <c r="D14" s="23" t="n">
        <v>69.3</v>
      </c>
      <c r="E14" s="23" t="n">
        <v>64.90000000000001</v>
      </c>
      <c r="F14" s="23" t="n">
        <v>62</v>
      </c>
      <c r="G14" s="23" t="n">
        <v>58.6</v>
      </c>
      <c r="H14" s="23" t="n">
        <v>59.9</v>
      </c>
      <c r="I14" s="23" t="n">
        <v>62.6</v>
      </c>
      <c r="J14" s="23" t="n">
        <v>65.2</v>
      </c>
      <c r="K14" s="23" t="n">
        <v>63.3</v>
      </c>
      <c r="L14" s="23" t="n">
        <v>58</v>
      </c>
      <c r="M14" s="23" t="n">
        <v>52.6</v>
      </c>
      <c r="N14" s="23" t="n">
        <v>54.6</v>
      </c>
      <c r="O14" s="24">
        <f>N14</f>
        <v/>
      </c>
    </row>
    <row r="15">
      <c r="B15" s="14" t="inlineStr">
        <is>
          <t>Headcount</t>
        </is>
      </c>
      <c r="C15" s="23" t="n">
        <v>286.5</v>
      </c>
      <c r="D15" s="23" t="n">
        <v>285.9</v>
      </c>
      <c r="E15" s="23" t="n">
        <v>288.4</v>
      </c>
      <c r="F15" s="23" t="n">
        <v>289.6</v>
      </c>
      <c r="G15" s="23" t="n">
        <v>291.8</v>
      </c>
      <c r="H15" s="23" t="n">
        <v>292.5</v>
      </c>
      <c r="I15" s="23" t="n">
        <v>295.6</v>
      </c>
      <c r="J15" s="23" t="n">
        <v>296.8</v>
      </c>
      <c r="K15" s="23" t="n">
        <v>297.9</v>
      </c>
      <c r="L15" s="23" t="n">
        <v>300.7</v>
      </c>
      <c r="M15" s="23" t="n">
        <v>302.8</v>
      </c>
      <c r="N15" s="23" t="n">
        <v>304.1</v>
      </c>
      <c r="O15" s="24">
        <f>N15</f>
        <v/>
      </c>
    </row>
    <row r="16">
      <c r="B16" s="14" t="inlineStr">
        <is>
          <t>Attrition % (ann.)</t>
        </is>
      </c>
      <c r="C16" s="17" t="n">
        <v>0.118</v>
      </c>
      <c r="D16" s="17" t="n">
        <v>0.152</v>
      </c>
      <c r="E16" s="17" t="n">
        <v>0.109</v>
      </c>
      <c r="F16" s="17" t="n">
        <v>0.101</v>
      </c>
      <c r="G16" s="17" t="n">
        <v>0.097</v>
      </c>
      <c r="H16" s="17" t="n">
        <v>0.141</v>
      </c>
      <c r="I16" s="17" t="n">
        <v>0.112</v>
      </c>
      <c r="J16" s="17" t="n">
        <v>0.134</v>
      </c>
      <c r="K16" s="17" t="n">
        <v>0.108</v>
      </c>
      <c r="L16" s="17" t="n">
        <v>0.099</v>
      </c>
      <c r="M16" s="17" t="n">
        <v>0.095</v>
      </c>
      <c r="N16" s="17" t="n">
        <v>0.102</v>
      </c>
      <c r="O16" s="20">
        <f>AVERAGE(C16:N16)</f>
        <v/>
      </c>
    </row>
    <row r="17">
      <c r="B17" s="14" t="inlineStr">
        <is>
          <t>Operating cash flow</t>
        </is>
      </c>
      <c r="C17" s="18" t="n">
        <v>5100</v>
      </c>
      <c r="D17" s="18" t="n">
        <v>4200</v>
      </c>
      <c r="E17" s="18" t="n">
        <v>6800</v>
      </c>
      <c r="F17" s="18" t="n">
        <v>5900</v>
      </c>
      <c r="G17" s="18" t="n">
        <v>7400</v>
      </c>
      <c r="H17" s="18" t="n">
        <v>7100</v>
      </c>
      <c r="I17" s="18" t="n">
        <v>5600</v>
      </c>
      <c r="J17" s="18" t="n">
        <v>6200</v>
      </c>
      <c r="K17" s="18" t="n">
        <v>4800</v>
      </c>
      <c r="L17" s="18" t="n">
        <v>7900</v>
      </c>
      <c r="M17" s="18" t="n">
        <v>9100</v>
      </c>
      <c r="N17" s="18" t="n">
        <v>8600</v>
      </c>
      <c r="O17" s="19">
        <f>SUM(C17:N17)</f>
        <v/>
      </c>
    </row>
    <row r="18">
      <c r="B18" s="14" t="inlineStr">
        <is>
          <t>SG&amp;A % of sales</t>
        </is>
      </c>
      <c r="C18" s="17" t="n">
        <v>0.191</v>
      </c>
      <c r="D18" s="17" t="n">
        <v>0.194</v>
      </c>
      <c r="E18" s="17" t="n">
        <v>0.186</v>
      </c>
      <c r="F18" s="17" t="n">
        <v>0.184</v>
      </c>
      <c r="G18" s="17" t="n">
        <v>0.181</v>
      </c>
      <c r="H18" s="17" t="n">
        <v>0.179</v>
      </c>
      <c r="I18" s="17" t="n">
        <v>0.188</v>
      </c>
      <c r="J18" s="17" t="n">
        <v>0.187</v>
      </c>
      <c r="K18" s="17" t="n">
        <v>0.19</v>
      </c>
      <c r="L18" s="17" t="n">
        <v>0.182</v>
      </c>
      <c r="M18" s="17" t="n">
        <v>0.178</v>
      </c>
      <c r="N18" s="17" t="n">
        <v>0.176</v>
      </c>
      <c r="O18" s="20">
        <f>AVERAGE(C18:N18)</f>
        <v/>
      </c>
    </row>
    <row r="20">
      <c r="B20" s="11" t="inlineStr">
        <is>
          <t>YTD (through reporting month) — formulas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>
      <c r="B21" s="13" t="inlineStr">
        <is>
          <t>KPI</t>
        </is>
      </c>
      <c r="C21" s="13" t="inlineStr">
        <is>
          <t>YTD actual</t>
        </is>
      </c>
      <c r="D21" s="13" t="inlineStr">
        <is>
          <t>YTD target</t>
        </is>
      </c>
      <c r="E21" s="13" t="inlineStr">
        <is>
          <t>YTD var</t>
        </is>
      </c>
      <c r="F21" s="13" t="inlineStr">
        <is>
          <t>Aggregation</t>
        </is>
      </c>
    </row>
    <row r="22">
      <c r="B22" s="15" t="inlineStr">
        <is>
          <t>Net revenue</t>
        </is>
      </c>
      <c r="C22" s="19">
        <f>SUM(OFFSET(C7,0,0,1,'01_Assumptions'!$C$5))</f>
        <v/>
      </c>
      <c r="D22" s="26">
        <f>SUM(OFFSET('01_Assumptions'!C29,0,0,1,'01_Assumptions'!$C$5))</f>
        <v/>
      </c>
      <c r="E22" s="26">
        <f>C22-D22</f>
        <v/>
      </c>
      <c r="F22" s="15" t="inlineStr">
        <is>
          <t>SUM</t>
        </is>
      </c>
    </row>
    <row r="23">
      <c r="B23" s="15" t="inlineStr">
        <is>
          <t>Gross margin %</t>
        </is>
      </c>
      <c r="C23" s="20">
        <f>AVERAGE(OFFSET(C8,0,0,1,'01_Assumptions'!$C$5))</f>
        <v/>
      </c>
      <c r="D23" s="27">
        <f>AVERAGE(OFFSET('01_Assumptions'!C30,0,0,1,'01_Assumptions'!$C$5))</f>
        <v/>
      </c>
      <c r="E23" s="27">
        <f>C23-D23</f>
        <v/>
      </c>
      <c r="F23" s="15" t="inlineStr">
        <is>
          <t>AVG</t>
        </is>
      </c>
    </row>
    <row r="24">
      <c r="B24" s="15" t="inlineStr">
        <is>
          <t>EBITDA</t>
        </is>
      </c>
      <c r="C24" s="19">
        <f>SUM(OFFSET(C9,0,0,1,'01_Assumptions'!$C$5))</f>
        <v/>
      </c>
      <c r="D24" s="26">
        <f>SUM(OFFSET('01_Assumptions'!C31,0,0,1,'01_Assumptions'!$C$5))</f>
        <v/>
      </c>
      <c r="E24" s="26">
        <f>C24-D24</f>
        <v/>
      </c>
      <c r="F24" s="15" t="inlineStr">
        <is>
          <t>SUM</t>
        </is>
      </c>
    </row>
    <row r="25">
      <c r="B25" s="15" t="inlineStr">
        <is>
          <t>Volume</t>
        </is>
      </c>
      <c r="C25" s="22">
        <f>SUM(OFFSET(C10,0,0,1,'01_Assumptions'!$C$5))</f>
        <v/>
      </c>
      <c r="D25" s="25">
        <f>SUM(OFFSET('01_Assumptions'!C32,0,0,1,'01_Assumptions'!$C$5))</f>
        <v/>
      </c>
      <c r="E25" s="25">
        <f>C25-D25</f>
        <v/>
      </c>
      <c r="F25" s="15" t="inlineStr">
        <is>
          <t>SUM</t>
        </is>
      </c>
    </row>
    <row r="26">
      <c r="B26" s="15" t="inlineStr">
        <is>
          <t>OTIF %</t>
        </is>
      </c>
      <c r="C26" s="20">
        <f>AVERAGE(OFFSET(C11,0,0,1,'01_Assumptions'!$C$5))</f>
        <v/>
      </c>
      <c r="D26" s="27">
        <f>AVERAGE(OFFSET('01_Assumptions'!C33,0,0,1,'01_Assumptions'!$C$5))</f>
        <v/>
      </c>
      <c r="E26" s="27">
        <f>C26-D26</f>
        <v/>
      </c>
      <c r="F26" s="15" t="inlineStr">
        <is>
          <t>AVG</t>
        </is>
      </c>
    </row>
    <row r="27">
      <c r="B27" s="15" t="inlineStr">
        <is>
          <t>Scrap %</t>
        </is>
      </c>
      <c r="C27" s="20">
        <f>AVERAGE(OFFSET(C12,0,0,1,'01_Assumptions'!$C$5))</f>
        <v/>
      </c>
      <c r="D27" s="27">
        <f>AVERAGE(OFFSET('01_Assumptions'!C34,0,0,1,'01_Assumptions'!$C$5))</f>
        <v/>
      </c>
      <c r="E27" s="27">
        <f>C27-D27</f>
        <v/>
      </c>
      <c r="F27" s="15" t="inlineStr">
        <is>
          <t>AVG</t>
        </is>
      </c>
    </row>
    <row r="28">
      <c r="B28" s="15" t="inlineStr">
        <is>
          <t>DSO</t>
        </is>
      </c>
      <c r="C28" s="24">
        <f>INDEX(C13:N13,1,'01_Assumptions'!$C$5)</f>
        <v/>
      </c>
      <c r="D28" s="28">
        <f>INDEX('01_Assumptions'!C35:N35,1,'01_Assumptions'!$C$5)</f>
        <v/>
      </c>
      <c r="E28" s="28">
        <f>C28-D28</f>
        <v/>
      </c>
      <c r="F28" s="15" t="inlineStr">
        <is>
          <t>LAST</t>
        </is>
      </c>
    </row>
    <row r="29">
      <c r="B29" s="15" t="inlineStr">
        <is>
          <t>CCC</t>
        </is>
      </c>
      <c r="C29" s="24">
        <f>INDEX(C14:N14,1,'01_Assumptions'!$C$5)</f>
        <v/>
      </c>
      <c r="D29" s="28">
        <f>INDEX('01_Assumptions'!C36:N36,1,'01_Assumptions'!$C$5)</f>
        <v/>
      </c>
      <c r="E29" s="28">
        <f>C29-D29</f>
        <v/>
      </c>
      <c r="F29" s="15" t="inlineStr">
        <is>
          <t>LAST</t>
        </is>
      </c>
    </row>
    <row r="30">
      <c r="B30" s="15" t="inlineStr">
        <is>
          <t>Headcount</t>
        </is>
      </c>
      <c r="C30" s="24">
        <f>INDEX(C15:N15,1,'01_Assumptions'!$C$5)</f>
        <v/>
      </c>
      <c r="D30" s="28">
        <f>INDEX('01_Assumptions'!C37:N37,1,'01_Assumptions'!$C$5)</f>
        <v/>
      </c>
      <c r="E30" s="28">
        <f>C30-D30</f>
        <v/>
      </c>
      <c r="F30" s="15" t="inlineStr">
        <is>
          <t>LAST</t>
        </is>
      </c>
    </row>
    <row r="31">
      <c r="B31" s="15" t="inlineStr">
        <is>
          <t>Attrition % (ann.)</t>
        </is>
      </c>
      <c r="C31" s="20">
        <f>AVERAGE(OFFSET(C16,0,0,1,'01_Assumptions'!$C$5))</f>
        <v/>
      </c>
      <c r="D31" s="27">
        <f>AVERAGE(OFFSET('01_Assumptions'!C38,0,0,1,'01_Assumptions'!$C$5))</f>
        <v/>
      </c>
      <c r="E31" s="27">
        <f>C31-D31</f>
        <v/>
      </c>
      <c r="F31" s="15" t="inlineStr">
        <is>
          <t>AVG</t>
        </is>
      </c>
    </row>
    <row r="32">
      <c r="B32" s="15" t="inlineStr">
        <is>
          <t>Operating cash flow</t>
        </is>
      </c>
      <c r="C32" s="19">
        <f>SUM(OFFSET(C17,0,0,1,'01_Assumptions'!$C$5))</f>
        <v/>
      </c>
      <c r="D32" s="26">
        <f>SUM(OFFSET('01_Assumptions'!C39,0,0,1,'01_Assumptions'!$C$5))</f>
        <v/>
      </c>
      <c r="E32" s="26">
        <f>C32-D32</f>
        <v/>
      </c>
      <c r="F32" s="15" t="inlineStr">
        <is>
          <t>SUM</t>
        </is>
      </c>
    </row>
    <row r="33">
      <c r="B33" s="15" t="inlineStr">
        <is>
          <t>SG&amp;A % of sales</t>
        </is>
      </c>
      <c r="C33" s="20">
        <f>AVERAGE(OFFSET(C18,0,0,1,'01_Assumptions'!$C$5))</f>
        <v/>
      </c>
      <c r="D33" s="27">
        <f>AVERAGE(OFFSET('01_Assumptions'!C40,0,0,1,'01_Assumptions'!$C$5))</f>
        <v/>
      </c>
      <c r="E33" s="27">
        <f>C33-D33</f>
        <v/>
      </c>
      <c r="F33" s="15" t="inlineStr">
        <is>
          <t>AVG</t>
        </is>
      </c>
    </row>
    <row r="35">
      <c r="B35" s="10" t="inlineStr">
        <is>
          <t>OFFSET/INDEX YTD respects the reporting month on Assumptions. LAST KPIs use the as-of month, not a sum.</t>
        </is>
      </c>
    </row>
  </sheetData>
  <pageMargins left="0.75" right="0.75" top="1" bottom="1" header="0.5" footer="0.5"/>
  <pageSetup orientation="landscape" paperSize="3" fitToHeight="0" fitToWidth="1"/>
  <headerFooter>
    <oddHeader/>
    <oddFooter>&amp;LNorthline Consumer Products  |  fictional sample&amp;RPage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B2:O51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2">
      <c r="B2" s="1" t="inlineStr">
        <is>
          <t>Scorecard — actual vs target and RAG</t>
        </is>
      </c>
    </row>
    <row r="3">
      <c r="B3" s="3" t="inlineStr">
        <is>
          <t>Every value on this sheet is a formula. RAG uses the H / L / R rules and bands on Assumptions.</t>
        </is>
      </c>
    </row>
    <row r="4">
      <c r="B4" t="inlineStr">
        <is>
          <t>As-of month</t>
        </is>
      </c>
      <c r="C4" s="29">
        <f>'01_Assumptions'!D5</f>
        <v/>
      </c>
    </row>
    <row r="6">
      <c r="B6" s="11" t="inlineStr">
        <is>
          <t>As-of month scorecard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>
      <c r="B7" s="13" t="inlineStr">
        <is>
          <t>KPI</t>
        </is>
      </c>
      <c r="C7" s="13" t="inlineStr">
        <is>
          <t>Actual</t>
        </is>
      </c>
      <c r="D7" s="13" t="inlineStr">
        <is>
          <t>Target</t>
        </is>
      </c>
      <c r="E7" s="13" t="inlineStr">
        <is>
          <t>Var</t>
        </is>
      </c>
      <c r="F7" s="13" t="inlineStr">
        <is>
          <t>Var %</t>
        </is>
      </c>
      <c r="G7" s="13" t="inlineStr">
        <is>
          <t>RAG</t>
        </is>
      </c>
      <c r="H7" s="13" t="inlineStr">
        <is>
          <t>YTD actual</t>
        </is>
      </c>
      <c r="I7" s="13" t="inlineStr">
        <is>
          <t>YTD target</t>
        </is>
      </c>
      <c r="J7" s="13" t="inlineStr">
        <is>
          <t>YTD var</t>
        </is>
      </c>
      <c r="K7" s="13" t="inlineStr">
        <is>
          <t>YTD RAG</t>
        </is>
      </c>
    </row>
    <row r="8">
      <c r="B8" s="14">
        <f>'01_Assumptions'!B14</f>
        <v/>
      </c>
      <c r="C8" s="19">
        <f>INDEX('02_Actuals'!C7:N7,1,'01_Assumptions'!$C$5)</f>
        <v/>
      </c>
      <c r="D8" s="26">
        <f>INDEX('01_Assumptions'!C29:N29,1,'01_Assumptions'!$C$5)</f>
        <v/>
      </c>
      <c r="E8" s="26">
        <f>C8-D8</f>
        <v/>
      </c>
      <c r="F8" s="27">
        <f>IF(D8=0,"—",C8/D8-1)</f>
        <v/>
      </c>
      <c r="G8" s="30">
        <f>IF(D8=0,"—",IF('01_Assumptions'!$D$14="H",IF(C8&gt;=D8,"Green",IF(C8&gt;=D8*(1-'01_Assumptions'!$E$14),"Amber","Red")),IF('01_Assumptions'!$D$14="L",IF(C8&lt;=D8,"Green",IF(C8&lt;=D8*(1+'01_Assumptions'!$E$14),"Amber","Red")),IF(ABS(C8/D8-1)&lt;='01_Assumptions'!$F$14,"Green",IF(ABS(C8/D8-1)&lt;='01_Assumptions'!$E$14,"Amber","Red")))))</f>
        <v/>
      </c>
      <c r="H8" s="26">
        <f>'02_Actuals'!C22</f>
        <v/>
      </c>
      <c r="I8" s="26">
        <f>'02_Actuals'!D22</f>
        <v/>
      </c>
      <c r="J8" s="26">
        <f>H8-I8</f>
        <v/>
      </c>
      <c r="K8" s="30">
        <f>IF(I8=0,"—",IF('01_Assumptions'!$D$14="H",IF(H8&gt;=I8,"Green",IF(H8&gt;=I8*(1-'01_Assumptions'!$E$14),"Amber","Red")),IF('01_Assumptions'!$D$14="L",IF(H8&lt;=I8,"Green",IF(H8&lt;=I8*(1+'01_Assumptions'!$E$14),"Amber","Red")),IF(ABS(H8/I8-1)&lt;='01_Assumptions'!$F$14,"Green",IF(ABS(H8/I8-1)&lt;='01_Assumptions'!$E$14,"Amber","Red")))))</f>
        <v/>
      </c>
    </row>
    <row r="9">
      <c r="B9" s="14">
        <f>'01_Assumptions'!B15</f>
        <v/>
      </c>
      <c r="C9" s="20">
        <f>INDEX('02_Actuals'!C8:N8,1,'01_Assumptions'!$C$5)</f>
        <v/>
      </c>
      <c r="D9" s="27">
        <f>INDEX('01_Assumptions'!C30:N30,1,'01_Assumptions'!$C$5)</f>
        <v/>
      </c>
      <c r="E9" s="27">
        <f>C9-D9</f>
        <v/>
      </c>
      <c r="F9" s="27">
        <f>IF(D9=0,"—",C9/D9-1)</f>
        <v/>
      </c>
      <c r="G9" s="30">
        <f>IF(D9=0,"—",IF('01_Assumptions'!$D$15="H",IF(C9&gt;=D9,"Green",IF(C9&gt;=D9*(1-'01_Assumptions'!$E$15),"Amber","Red")),IF('01_Assumptions'!$D$15="L",IF(C9&lt;=D9,"Green",IF(C9&lt;=D9*(1+'01_Assumptions'!$E$15),"Amber","Red")),IF(ABS(C9/D9-1)&lt;='01_Assumptions'!$F$15,"Green",IF(ABS(C9/D9-1)&lt;='01_Assumptions'!$E$15,"Amber","Red")))))</f>
        <v/>
      </c>
      <c r="H9" s="27">
        <f>'02_Actuals'!C23</f>
        <v/>
      </c>
      <c r="I9" s="27">
        <f>'02_Actuals'!D23</f>
        <v/>
      </c>
      <c r="J9" s="27">
        <f>H9-I9</f>
        <v/>
      </c>
      <c r="K9" s="30">
        <f>IF(I9=0,"—",IF('01_Assumptions'!$D$15="H",IF(H9&gt;=I9,"Green",IF(H9&gt;=I9*(1-'01_Assumptions'!$E$15),"Amber","Red")),IF('01_Assumptions'!$D$15="L",IF(H9&lt;=I9,"Green",IF(H9&lt;=I9*(1+'01_Assumptions'!$E$15),"Amber","Red")),IF(ABS(H9/I9-1)&lt;='01_Assumptions'!$F$15,"Green",IF(ABS(H9/I9-1)&lt;='01_Assumptions'!$E$15,"Amber","Red")))))</f>
        <v/>
      </c>
    </row>
    <row r="10">
      <c r="B10" s="14">
        <f>'01_Assumptions'!B16</f>
        <v/>
      </c>
      <c r="C10" s="19">
        <f>INDEX('02_Actuals'!C9:N9,1,'01_Assumptions'!$C$5)</f>
        <v/>
      </c>
      <c r="D10" s="26">
        <f>INDEX('01_Assumptions'!C31:N31,1,'01_Assumptions'!$C$5)</f>
        <v/>
      </c>
      <c r="E10" s="26">
        <f>C10-D10</f>
        <v/>
      </c>
      <c r="F10" s="27">
        <f>IF(D10=0,"—",C10/D10-1)</f>
        <v/>
      </c>
      <c r="G10" s="30">
        <f>IF(D10=0,"—",IF('01_Assumptions'!$D$16="H",IF(C10&gt;=D10,"Green",IF(C10&gt;=D10*(1-'01_Assumptions'!$E$16),"Amber","Red")),IF('01_Assumptions'!$D$16="L",IF(C10&lt;=D10,"Green",IF(C10&lt;=D10*(1+'01_Assumptions'!$E$16),"Amber","Red")),IF(ABS(C10/D10-1)&lt;='01_Assumptions'!$F$16,"Green",IF(ABS(C10/D10-1)&lt;='01_Assumptions'!$E$16,"Amber","Red")))))</f>
        <v/>
      </c>
      <c r="H10" s="26">
        <f>'02_Actuals'!C24</f>
        <v/>
      </c>
      <c r="I10" s="26">
        <f>'02_Actuals'!D24</f>
        <v/>
      </c>
      <c r="J10" s="26">
        <f>H10-I10</f>
        <v/>
      </c>
      <c r="K10" s="30">
        <f>IF(I10=0,"—",IF('01_Assumptions'!$D$16="H",IF(H10&gt;=I10,"Green",IF(H10&gt;=I10*(1-'01_Assumptions'!$E$16),"Amber","Red")),IF('01_Assumptions'!$D$16="L",IF(H10&lt;=I10,"Green",IF(H10&lt;=I10*(1+'01_Assumptions'!$E$16),"Amber","Red")),IF(ABS(H10/I10-1)&lt;='01_Assumptions'!$F$16,"Green",IF(ABS(H10/I10-1)&lt;='01_Assumptions'!$E$16,"Amber","Red")))))</f>
        <v/>
      </c>
    </row>
    <row r="11">
      <c r="B11" s="14">
        <f>'01_Assumptions'!B17</f>
        <v/>
      </c>
      <c r="C11" s="22">
        <f>INDEX('02_Actuals'!C10:N10,1,'01_Assumptions'!$C$5)</f>
        <v/>
      </c>
      <c r="D11" s="25">
        <f>INDEX('01_Assumptions'!C32:N32,1,'01_Assumptions'!$C$5)</f>
        <v/>
      </c>
      <c r="E11" s="25">
        <f>C11-D11</f>
        <v/>
      </c>
      <c r="F11" s="27">
        <f>IF(D11=0,"—",C11/D11-1)</f>
        <v/>
      </c>
      <c r="G11" s="30">
        <f>IF(D11=0,"—",IF('01_Assumptions'!$D$17="H",IF(C11&gt;=D11,"Green",IF(C11&gt;=D11*(1-'01_Assumptions'!$E$17),"Amber","Red")),IF('01_Assumptions'!$D$17="L",IF(C11&lt;=D11,"Green",IF(C11&lt;=D11*(1+'01_Assumptions'!$E$17),"Amber","Red")),IF(ABS(C11/D11-1)&lt;='01_Assumptions'!$F$17,"Green",IF(ABS(C11/D11-1)&lt;='01_Assumptions'!$E$17,"Amber","Red")))))</f>
        <v/>
      </c>
      <c r="H11" s="25">
        <f>'02_Actuals'!C25</f>
        <v/>
      </c>
      <c r="I11" s="25">
        <f>'02_Actuals'!D25</f>
        <v/>
      </c>
      <c r="J11" s="25">
        <f>H11-I11</f>
        <v/>
      </c>
      <c r="K11" s="30">
        <f>IF(I11=0,"—",IF('01_Assumptions'!$D$17="H",IF(H11&gt;=I11,"Green",IF(H11&gt;=I11*(1-'01_Assumptions'!$E$17),"Amber","Red")),IF('01_Assumptions'!$D$17="L",IF(H11&lt;=I11,"Green",IF(H11&lt;=I11*(1+'01_Assumptions'!$E$17),"Amber","Red")),IF(ABS(H11/I11-1)&lt;='01_Assumptions'!$F$17,"Green",IF(ABS(H11/I11-1)&lt;='01_Assumptions'!$E$17,"Amber","Red")))))</f>
        <v/>
      </c>
    </row>
    <row r="12">
      <c r="B12" s="14">
        <f>'01_Assumptions'!B18</f>
        <v/>
      </c>
      <c r="C12" s="20">
        <f>INDEX('02_Actuals'!C11:N11,1,'01_Assumptions'!$C$5)</f>
        <v/>
      </c>
      <c r="D12" s="27">
        <f>INDEX('01_Assumptions'!C33:N33,1,'01_Assumptions'!$C$5)</f>
        <v/>
      </c>
      <c r="E12" s="27">
        <f>C12-D12</f>
        <v/>
      </c>
      <c r="F12" s="27">
        <f>IF(D12=0,"—",C12/D12-1)</f>
        <v/>
      </c>
      <c r="G12" s="30">
        <f>IF(D12=0,"—",IF('01_Assumptions'!$D$18="H",IF(C12&gt;=D12,"Green",IF(C12&gt;=D12*(1-'01_Assumptions'!$E$18),"Amber","Red")),IF('01_Assumptions'!$D$18="L",IF(C12&lt;=D12,"Green",IF(C12&lt;=D12*(1+'01_Assumptions'!$E$18),"Amber","Red")),IF(ABS(C12/D12-1)&lt;='01_Assumptions'!$F$18,"Green",IF(ABS(C12/D12-1)&lt;='01_Assumptions'!$E$18,"Amber","Red")))))</f>
        <v/>
      </c>
      <c r="H12" s="27">
        <f>'02_Actuals'!C26</f>
        <v/>
      </c>
      <c r="I12" s="27">
        <f>'02_Actuals'!D26</f>
        <v/>
      </c>
      <c r="J12" s="27">
        <f>H12-I12</f>
        <v/>
      </c>
      <c r="K12" s="30">
        <f>IF(I12=0,"—",IF('01_Assumptions'!$D$18="H",IF(H12&gt;=I12,"Green",IF(H12&gt;=I12*(1-'01_Assumptions'!$E$18),"Amber","Red")),IF('01_Assumptions'!$D$18="L",IF(H12&lt;=I12,"Green",IF(H12&lt;=I12*(1+'01_Assumptions'!$E$18),"Amber","Red")),IF(ABS(H12/I12-1)&lt;='01_Assumptions'!$F$18,"Green",IF(ABS(H12/I12-1)&lt;='01_Assumptions'!$E$18,"Amber","Red")))))</f>
        <v/>
      </c>
    </row>
    <row r="13">
      <c r="B13" s="14">
        <f>'01_Assumptions'!B19</f>
        <v/>
      </c>
      <c r="C13" s="20">
        <f>INDEX('02_Actuals'!C12:N12,1,'01_Assumptions'!$C$5)</f>
        <v/>
      </c>
      <c r="D13" s="27">
        <f>INDEX('01_Assumptions'!C34:N34,1,'01_Assumptions'!$C$5)</f>
        <v/>
      </c>
      <c r="E13" s="27">
        <f>C13-D13</f>
        <v/>
      </c>
      <c r="F13" s="27">
        <f>IF(D13=0,"—",C13/D13-1)</f>
        <v/>
      </c>
      <c r="G13" s="30">
        <f>IF(D13=0,"—",IF('01_Assumptions'!$D$19="H",IF(C13&gt;=D13,"Green",IF(C13&gt;=D13*(1-'01_Assumptions'!$E$19),"Amber","Red")),IF('01_Assumptions'!$D$19="L",IF(C13&lt;=D13,"Green",IF(C13&lt;=D13*(1+'01_Assumptions'!$E$19),"Amber","Red")),IF(ABS(C13/D13-1)&lt;='01_Assumptions'!$F$19,"Green",IF(ABS(C13/D13-1)&lt;='01_Assumptions'!$E$19,"Amber","Red")))))</f>
        <v/>
      </c>
      <c r="H13" s="27">
        <f>'02_Actuals'!C27</f>
        <v/>
      </c>
      <c r="I13" s="27">
        <f>'02_Actuals'!D27</f>
        <v/>
      </c>
      <c r="J13" s="27">
        <f>H13-I13</f>
        <v/>
      </c>
      <c r="K13" s="30">
        <f>IF(I13=0,"—",IF('01_Assumptions'!$D$19="H",IF(H13&gt;=I13,"Green",IF(H13&gt;=I13*(1-'01_Assumptions'!$E$19),"Amber","Red")),IF('01_Assumptions'!$D$19="L",IF(H13&lt;=I13,"Green",IF(H13&lt;=I13*(1+'01_Assumptions'!$E$19),"Amber","Red")),IF(ABS(H13/I13-1)&lt;='01_Assumptions'!$F$19,"Green",IF(ABS(H13/I13-1)&lt;='01_Assumptions'!$E$19,"Amber","Red")))))</f>
        <v/>
      </c>
    </row>
    <row r="14">
      <c r="B14" s="14">
        <f>'01_Assumptions'!B20</f>
        <v/>
      </c>
      <c r="C14" s="24">
        <f>INDEX('02_Actuals'!C13:N13,1,'01_Assumptions'!$C$5)</f>
        <v/>
      </c>
      <c r="D14" s="28">
        <f>INDEX('01_Assumptions'!C35:N35,1,'01_Assumptions'!$C$5)</f>
        <v/>
      </c>
      <c r="E14" s="28">
        <f>C14-D14</f>
        <v/>
      </c>
      <c r="F14" s="27">
        <f>IF(D14=0,"—",C14/D14-1)</f>
        <v/>
      </c>
      <c r="G14" s="30">
        <f>IF(D14=0,"—",IF('01_Assumptions'!$D$20="H",IF(C14&gt;=D14,"Green",IF(C14&gt;=D14*(1-'01_Assumptions'!$E$20),"Amber","Red")),IF('01_Assumptions'!$D$20="L",IF(C14&lt;=D14,"Green",IF(C14&lt;=D14*(1+'01_Assumptions'!$E$20),"Amber","Red")),IF(ABS(C14/D14-1)&lt;='01_Assumptions'!$F$20,"Green",IF(ABS(C14/D14-1)&lt;='01_Assumptions'!$E$20,"Amber","Red")))))</f>
        <v/>
      </c>
      <c r="H14" s="28">
        <f>'02_Actuals'!C28</f>
        <v/>
      </c>
      <c r="I14" s="28">
        <f>'02_Actuals'!D28</f>
        <v/>
      </c>
      <c r="J14" s="28">
        <f>H14-I14</f>
        <v/>
      </c>
      <c r="K14" s="30">
        <f>IF(I14=0,"—",IF('01_Assumptions'!$D$20="H",IF(H14&gt;=I14,"Green",IF(H14&gt;=I14*(1-'01_Assumptions'!$E$20),"Amber","Red")),IF('01_Assumptions'!$D$20="L",IF(H14&lt;=I14,"Green",IF(H14&lt;=I14*(1+'01_Assumptions'!$E$20),"Amber","Red")),IF(ABS(H14/I14-1)&lt;='01_Assumptions'!$F$20,"Green",IF(ABS(H14/I14-1)&lt;='01_Assumptions'!$E$20,"Amber","Red")))))</f>
        <v/>
      </c>
    </row>
    <row r="15">
      <c r="B15" s="14">
        <f>'01_Assumptions'!B21</f>
        <v/>
      </c>
      <c r="C15" s="24">
        <f>INDEX('02_Actuals'!C14:N14,1,'01_Assumptions'!$C$5)</f>
        <v/>
      </c>
      <c r="D15" s="28">
        <f>INDEX('01_Assumptions'!C36:N36,1,'01_Assumptions'!$C$5)</f>
        <v/>
      </c>
      <c r="E15" s="28">
        <f>C15-D15</f>
        <v/>
      </c>
      <c r="F15" s="27">
        <f>IF(D15=0,"—",C15/D15-1)</f>
        <v/>
      </c>
      <c r="G15" s="30">
        <f>IF(D15=0,"—",IF('01_Assumptions'!$D$21="H",IF(C15&gt;=D15,"Green",IF(C15&gt;=D15*(1-'01_Assumptions'!$E$21),"Amber","Red")),IF('01_Assumptions'!$D$21="L",IF(C15&lt;=D15,"Green",IF(C15&lt;=D15*(1+'01_Assumptions'!$E$21),"Amber","Red")),IF(ABS(C15/D15-1)&lt;='01_Assumptions'!$F$21,"Green",IF(ABS(C15/D15-1)&lt;='01_Assumptions'!$E$21,"Amber","Red")))))</f>
        <v/>
      </c>
      <c r="H15" s="28">
        <f>'02_Actuals'!C29</f>
        <v/>
      </c>
      <c r="I15" s="28">
        <f>'02_Actuals'!D29</f>
        <v/>
      </c>
      <c r="J15" s="28">
        <f>H15-I15</f>
        <v/>
      </c>
      <c r="K15" s="30">
        <f>IF(I15=0,"—",IF('01_Assumptions'!$D$21="H",IF(H15&gt;=I15,"Green",IF(H15&gt;=I15*(1-'01_Assumptions'!$E$21),"Amber","Red")),IF('01_Assumptions'!$D$21="L",IF(H15&lt;=I15,"Green",IF(H15&lt;=I15*(1+'01_Assumptions'!$E$21),"Amber","Red")),IF(ABS(H15/I15-1)&lt;='01_Assumptions'!$F$21,"Green",IF(ABS(H15/I15-1)&lt;='01_Assumptions'!$E$21,"Amber","Red")))))</f>
        <v/>
      </c>
    </row>
    <row r="16">
      <c r="B16" s="14">
        <f>'01_Assumptions'!B22</f>
        <v/>
      </c>
      <c r="C16" s="24">
        <f>INDEX('02_Actuals'!C15:N15,1,'01_Assumptions'!$C$5)</f>
        <v/>
      </c>
      <c r="D16" s="28">
        <f>INDEX('01_Assumptions'!C37:N37,1,'01_Assumptions'!$C$5)</f>
        <v/>
      </c>
      <c r="E16" s="28">
        <f>C16-D16</f>
        <v/>
      </c>
      <c r="F16" s="27">
        <f>IF(D16=0,"—",C16/D16-1)</f>
        <v/>
      </c>
      <c r="G16" s="30">
        <f>IF(D16=0,"—",IF('01_Assumptions'!$D$22="H",IF(C16&gt;=D16,"Green",IF(C16&gt;=D16*(1-'01_Assumptions'!$E$22),"Amber","Red")),IF('01_Assumptions'!$D$22="L",IF(C16&lt;=D16,"Green",IF(C16&lt;=D16*(1+'01_Assumptions'!$E$22),"Amber","Red")),IF(ABS(C16/D16-1)&lt;='01_Assumptions'!$F$22,"Green",IF(ABS(C16/D16-1)&lt;='01_Assumptions'!$E$22,"Amber","Red")))))</f>
        <v/>
      </c>
      <c r="H16" s="28">
        <f>'02_Actuals'!C30</f>
        <v/>
      </c>
      <c r="I16" s="28">
        <f>'02_Actuals'!D30</f>
        <v/>
      </c>
      <c r="J16" s="28">
        <f>H16-I16</f>
        <v/>
      </c>
      <c r="K16" s="30">
        <f>IF(I16=0,"—",IF('01_Assumptions'!$D$22="H",IF(H16&gt;=I16,"Green",IF(H16&gt;=I16*(1-'01_Assumptions'!$E$22),"Amber","Red")),IF('01_Assumptions'!$D$22="L",IF(H16&lt;=I16,"Green",IF(H16&lt;=I16*(1+'01_Assumptions'!$E$22),"Amber","Red")),IF(ABS(H16/I16-1)&lt;='01_Assumptions'!$F$22,"Green",IF(ABS(H16/I16-1)&lt;='01_Assumptions'!$E$22,"Amber","Red")))))</f>
        <v/>
      </c>
    </row>
    <row r="17">
      <c r="B17" s="14">
        <f>'01_Assumptions'!B23</f>
        <v/>
      </c>
      <c r="C17" s="20">
        <f>INDEX('02_Actuals'!C16:N16,1,'01_Assumptions'!$C$5)</f>
        <v/>
      </c>
      <c r="D17" s="27">
        <f>INDEX('01_Assumptions'!C38:N38,1,'01_Assumptions'!$C$5)</f>
        <v/>
      </c>
      <c r="E17" s="27">
        <f>C17-D17</f>
        <v/>
      </c>
      <c r="F17" s="27">
        <f>IF(D17=0,"—",C17/D17-1)</f>
        <v/>
      </c>
      <c r="G17" s="30">
        <f>IF(D17=0,"—",IF('01_Assumptions'!$D$23="H",IF(C17&gt;=D17,"Green",IF(C17&gt;=D17*(1-'01_Assumptions'!$E$23),"Amber","Red")),IF('01_Assumptions'!$D$23="L",IF(C17&lt;=D17,"Green",IF(C17&lt;=D17*(1+'01_Assumptions'!$E$23),"Amber","Red")),IF(ABS(C17/D17-1)&lt;='01_Assumptions'!$F$23,"Green",IF(ABS(C17/D17-1)&lt;='01_Assumptions'!$E$23,"Amber","Red")))))</f>
        <v/>
      </c>
      <c r="H17" s="27">
        <f>'02_Actuals'!C31</f>
        <v/>
      </c>
      <c r="I17" s="27">
        <f>'02_Actuals'!D31</f>
        <v/>
      </c>
      <c r="J17" s="27">
        <f>H17-I17</f>
        <v/>
      </c>
      <c r="K17" s="30">
        <f>IF(I17=0,"—",IF('01_Assumptions'!$D$23="H",IF(H17&gt;=I17,"Green",IF(H17&gt;=I17*(1-'01_Assumptions'!$E$23),"Amber","Red")),IF('01_Assumptions'!$D$23="L",IF(H17&lt;=I17,"Green",IF(H17&lt;=I17*(1+'01_Assumptions'!$E$23),"Amber","Red")),IF(ABS(H17/I17-1)&lt;='01_Assumptions'!$F$23,"Green",IF(ABS(H17/I17-1)&lt;='01_Assumptions'!$E$23,"Amber","Red")))))</f>
        <v/>
      </c>
    </row>
    <row r="18">
      <c r="B18" s="14">
        <f>'01_Assumptions'!B24</f>
        <v/>
      </c>
      <c r="C18" s="19">
        <f>INDEX('02_Actuals'!C17:N17,1,'01_Assumptions'!$C$5)</f>
        <v/>
      </c>
      <c r="D18" s="26">
        <f>INDEX('01_Assumptions'!C39:N39,1,'01_Assumptions'!$C$5)</f>
        <v/>
      </c>
      <c r="E18" s="26">
        <f>C18-D18</f>
        <v/>
      </c>
      <c r="F18" s="27">
        <f>IF(D18=0,"—",C18/D18-1)</f>
        <v/>
      </c>
      <c r="G18" s="30">
        <f>IF(D18=0,"—",IF('01_Assumptions'!$D$24="H",IF(C18&gt;=D18,"Green",IF(C18&gt;=D18*(1-'01_Assumptions'!$E$24),"Amber","Red")),IF('01_Assumptions'!$D$24="L",IF(C18&lt;=D18,"Green",IF(C18&lt;=D18*(1+'01_Assumptions'!$E$24),"Amber","Red")),IF(ABS(C18/D18-1)&lt;='01_Assumptions'!$F$24,"Green",IF(ABS(C18/D18-1)&lt;='01_Assumptions'!$E$24,"Amber","Red")))))</f>
        <v/>
      </c>
      <c r="H18" s="26">
        <f>'02_Actuals'!C32</f>
        <v/>
      </c>
      <c r="I18" s="26">
        <f>'02_Actuals'!D32</f>
        <v/>
      </c>
      <c r="J18" s="26">
        <f>H18-I18</f>
        <v/>
      </c>
      <c r="K18" s="30">
        <f>IF(I18=0,"—",IF('01_Assumptions'!$D$24="H",IF(H18&gt;=I18,"Green",IF(H18&gt;=I18*(1-'01_Assumptions'!$E$24),"Amber","Red")),IF('01_Assumptions'!$D$24="L",IF(H18&lt;=I18,"Green",IF(H18&lt;=I18*(1+'01_Assumptions'!$E$24),"Amber","Red")),IF(ABS(H18/I18-1)&lt;='01_Assumptions'!$F$24,"Green",IF(ABS(H18/I18-1)&lt;='01_Assumptions'!$E$24,"Amber","Red")))))</f>
        <v/>
      </c>
    </row>
    <row r="19">
      <c r="B19" s="14">
        <f>'01_Assumptions'!B25</f>
        <v/>
      </c>
      <c r="C19" s="20">
        <f>INDEX('02_Actuals'!C18:N18,1,'01_Assumptions'!$C$5)</f>
        <v/>
      </c>
      <c r="D19" s="27">
        <f>INDEX('01_Assumptions'!C40:N40,1,'01_Assumptions'!$C$5)</f>
        <v/>
      </c>
      <c r="E19" s="27">
        <f>C19-D19</f>
        <v/>
      </c>
      <c r="F19" s="27">
        <f>IF(D19=0,"—",C19/D19-1)</f>
        <v/>
      </c>
      <c r="G19" s="30">
        <f>IF(D19=0,"—",IF('01_Assumptions'!$D$25="H",IF(C19&gt;=D19,"Green",IF(C19&gt;=D19*(1-'01_Assumptions'!$E$25),"Amber","Red")),IF('01_Assumptions'!$D$25="L",IF(C19&lt;=D19,"Green",IF(C19&lt;=D19*(1+'01_Assumptions'!$E$25),"Amber","Red")),IF(ABS(C19/D19-1)&lt;='01_Assumptions'!$F$25,"Green",IF(ABS(C19/D19-1)&lt;='01_Assumptions'!$E$25,"Amber","Red")))))</f>
        <v/>
      </c>
      <c r="H19" s="27">
        <f>'02_Actuals'!C33</f>
        <v/>
      </c>
      <c r="I19" s="27">
        <f>'02_Actuals'!D33</f>
        <v/>
      </c>
      <c r="J19" s="27">
        <f>H19-I19</f>
        <v/>
      </c>
      <c r="K19" s="30">
        <f>IF(I19=0,"—",IF('01_Assumptions'!$D$25="H",IF(H19&gt;=I19,"Green",IF(H19&gt;=I19*(1-'01_Assumptions'!$E$25),"Amber","Red")),IF('01_Assumptions'!$D$25="L",IF(H19&lt;=I19,"Green",IF(H19&lt;=I19*(1+'01_Assumptions'!$E$25),"Amber","Red")),IF(ABS(H19/I19-1)&lt;='01_Assumptions'!$F$25,"Green",IF(ABS(H19/I19-1)&lt;='01_Assumptions'!$E$25,"Amber","Red")))))</f>
        <v/>
      </c>
    </row>
    <row r="21">
      <c r="B21" s="11" t="inlineStr">
        <is>
          <t>Monthly RAG heatmap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</row>
    <row r="22">
      <c r="C22" s="13" t="inlineStr">
        <is>
          <t>Jan-26</t>
        </is>
      </c>
      <c r="D22" s="13" t="inlineStr">
        <is>
          <t>Feb-26</t>
        </is>
      </c>
      <c r="E22" s="13" t="inlineStr">
        <is>
          <t>Mar-26</t>
        </is>
      </c>
      <c r="F22" s="13" t="inlineStr">
        <is>
          <t>Apr-26</t>
        </is>
      </c>
      <c r="G22" s="13" t="inlineStr">
        <is>
          <t>May-26</t>
        </is>
      </c>
      <c r="H22" s="13" t="inlineStr">
        <is>
          <t>Jun-26</t>
        </is>
      </c>
      <c r="I22" s="13" t="inlineStr">
        <is>
          <t>Jul-26</t>
        </is>
      </c>
      <c r="J22" s="13" t="inlineStr">
        <is>
          <t>Aug-26</t>
        </is>
      </c>
      <c r="K22" s="13" t="inlineStr">
        <is>
          <t>Sep-26</t>
        </is>
      </c>
      <c r="L22" s="13" t="inlineStr">
        <is>
          <t>Oct-26</t>
        </is>
      </c>
      <c r="M22" s="13" t="inlineStr">
        <is>
          <t>Nov-26</t>
        </is>
      </c>
      <c r="N22" s="13" t="inlineStr">
        <is>
          <t>Dec-26</t>
        </is>
      </c>
    </row>
    <row r="23">
      <c r="B23" s="14" t="inlineStr">
        <is>
          <t>Net revenue</t>
        </is>
      </c>
      <c r="C23" s="30">
        <f>IF('01_Assumptions'!C29=0,"—",IF('01_Assumptions'!$D$14="H",IF('02_Actuals'!C7&gt;='01_Assumptions'!C29,"Green",IF('02_Actuals'!C7&gt;='01_Assumptions'!C29*(1-'01_Assumptions'!$E$14),"Amber","Red")),IF('01_Assumptions'!$D$14="L",IF('02_Actuals'!C7&lt;='01_Assumptions'!C29,"Green",IF('02_Actuals'!C7&lt;='01_Assumptions'!C29*(1+'01_Assumptions'!$E$14),"Amber","Red")),IF(ABS('02_Actuals'!C7/'01_Assumptions'!C29-1)&lt;='01_Assumptions'!$F$14,"Green",IF(ABS('02_Actuals'!C7/'01_Assumptions'!C29-1)&lt;='01_Assumptions'!$E$14,"Amber","Red")))))</f>
        <v/>
      </c>
      <c r="D23" s="30">
        <f>IF('01_Assumptions'!D29=0,"—",IF('01_Assumptions'!$D$14="H",IF('02_Actuals'!D7&gt;='01_Assumptions'!D29,"Green",IF('02_Actuals'!D7&gt;='01_Assumptions'!D29*(1-'01_Assumptions'!$E$14),"Amber","Red")),IF('01_Assumptions'!$D$14="L",IF('02_Actuals'!D7&lt;='01_Assumptions'!D29,"Green",IF('02_Actuals'!D7&lt;='01_Assumptions'!D29*(1+'01_Assumptions'!$E$14),"Amber","Red")),IF(ABS('02_Actuals'!D7/'01_Assumptions'!D29-1)&lt;='01_Assumptions'!$F$14,"Green",IF(ABS('02_Actuals'!D7/'01_Assumptions'!D29-1)&lt;='01_Assumptions'!$E$14,"Amber","Red")))))</f>
        <v/>
      </c>
      <c r="E23" s="30">
        <f>IF('01_Assumptions'!E29=0,"—",IF('01_Assumptions'!$D$14="H",IF('02_Actuals'!E7&gt;='01_Assumptions'!E29,"Green",IF('02_Actuals'!E7&gt;='01_Assumptions'!E29*(1-'01_Assumptions'!$E$14),"Amber","Red")),IF('01_Assumptions'!$D$14="L",IF('02_Actuals'!E7&lt;='01_Assumptions'!E29,"Green",IF('02_Actuals'!E7&lt;='01_Assumptions'!E29*(1+'01_Assumptions'!$E$14),"Amber","Red")),IF(ABS('02_Actuals'!E7/'01_Assumptions'!E29-1)&lt;='01_Assumptions'!$F$14,"Green",IF(ABS('02_Actuals'!E7/'01_Assumptions'!E29-1)&lt;='01_Assumptions'!$E$14,"Amber","Red")))))</f>
        <v/>
      </c>
      <c r="F23" s="30">
        <f>IF('01_Assumptions'!F29=0,"—",IF('01_Assumptions'!$D$14="H",IF('02_Actuals'!F7&gt;='01_Assumptions'!F29,"Green",IF('02_Actuals'!F7&gt;='01_Assumptions'!F29*(1-'01_Assumptions'!$E$14),"Amber","Red")),IF('01_Assumptions'!$D$14="L",IF('02_Actuals'!F7&lt;='01_Assumptions'!F29,"Green",IF('02_Actuals'!F7&lt;='01_Assumptions'!F29*(1+'01_Assumptions'!$E$14),"Amber","Red")),IF(ABS('02_Actuals'!F7/'01_Assumptions'!F29-1)&lt;='01_Assumptions'!$F$14,"Green",IF(ABS('02_Actuals'!F7/'01_Assumptions'!F29-1)&lt;='01_Assumptions'!$E$14,"Amber","Red")))))</f>
        <v/>
      </c>
      <c r="G23" s="30">
        <f>IF('01_Assumptions'!G29=0,"—",IF('01_Assumptions'!$D$14="H",IF('02_Actuals'!G7&gt;='01_Assumptions'!G29,"Green",IF('02_Actuals'!G7&gt;='01_Assumptions'!G29*(1-'01_Assumptions'!$E$14),"Amber","Red")),IF('01_Assumptions'!$D$14="L",IF('02_Actuals'!G7&lt;='01_Assumptions'!G29,"Green",IF('02_Actuals'!G7&lt;='01_Assumptions'!G29*(1+'01_Assumptions'!$E$14),"Amber","Red")),IF(ABS('02_Actuals'!G7/'01_Assumptions'!G29-1)&lt;='01_Assumptions'!$F$14,"Green",IF(ABS('02_Actuals'!G7/'01_Assumptions'!G29-1)&lt;='01_Assumptions'!$E$14,"Amber","Red")))))</f>
        <v/>
      </c>
      <c r="H23" s="30">
        <f>IF('01_Assumptions'!H29=0,"—",IF('01_Assumptions'!$D$14="H",IF('02_Actuals'!H7&gt;='01_Assumptions'!H29,"Green",IF('02_Actuals'!H7&gt;='01_Assumptions'!H29*(1-'01_Assumptions'!$E$14),"Amber","Red")),IF('01_Assumptions'!$D$14="L",IF('02_Actuals'!H7&lt;='01_Assumptions'!H29,"Green",IF('02_Actuals'!H7&lt;='01_Assumptions'!H29*(1+'01_Assumptions'!$E$14),"Amber","Red")),IF(ABS('02_Actuals'!H7/'01_Assumptions'!H29-1)&lt;='01_Assumptions'!$F$14,"Green",IF(ABS('02_Actuals'!H7/'01_Assumptions'!H29-1)&lt;='01_Assumptions'!$E$14,"Amber","Red")))))</f>
        <v/>
      </c>
      <c r="I23" s="30">
        <f>IF('01_Assumptions'!I29=0,"—",IF('01_Assumptions'!$D$14="H",IF('02_Actuals'!I7&gt;='01_Assumptions'!I29,"Green",IF('02_Actuals'!I7&gt;='01_Assumptions'!I29*(1-'01_Assumptions'!$E$14),"Amber","Red")),IF('01_Assumptions'!$D$14="L",IF('02_Actuals'!I7&lt;='01_Assumptions'!I29,"Green",IF('02_Actuals'!I7&lt;='01_Assumptions'!I29*(1+'01_Assumptions'!$E$14),"Amber","Red")),IF(ABS('02_Actuals'!I7/'01_Assumptions'!I29-1)&lt;='01_Assumptions'!$F$14,"Green",IF(ABS('02_Actuals'!I7/'01_Assumptions'!I29-1)&lt;='01_Assumptions'!$E$14,"Amber","Red")))))</f>
        <v/>
      </c>
      <c r="J23" s="30">
        <f>IF('01_Assumptions'!J29=0,"—",IF('01_Assumptions'!$D$14="H",IF('02_Actuals'!J7&gt;='01_Assumptions'!J29,"Green",IF('02_Actuals'!J7&gt;='01_Assumptions'!J29*(1-'01_Assumptions'!$E$14),"Amber","Red")),IF('01_Assumptions'!$D$14="L",IF('02_Actuals'!J7&lt;='01_Assumptions'!J29,"Green",IF('02_Actuals'!J7&lt;='01_Assumptions'!J29*(1+'01_Assumptions'!$E$14),"Amber","Red")),IF(ABS('02_Actuals'!J7/'01_Assumptions'!J29-1)&lt;='01_Assumptions'!$F$14,"Green",IF(ABS('02_Actuals'!J7/'01_Assumptions'!J29-1)&lt;='01_Assumptions'!$E$14,"Amber","Red")))))</f>
        <v/>
      </c>
      <c r="K23" s="30">
        <f>IF('01_Assumptions'!K29=0,"—",IF('01_Assumptions'!$D$14="H",IF('02_Actuals'!K7&gt;='01_Assumptions'!K29,"Green",IF('02_Actuals'!K7&gt;='01_Assumptions'!K29*(1-'01_Assumptions'!$E$14),"Amber","Red")),IF('01_Assumptions'!$D$14="L",IF('02_Actuals'!K7&lt;='01_Assumptions'!K29,"Green",IF('02_Actuals'!K7&lt;='01_Assumptions'!K29*(1+'01_Assumptions'!$E$14),"Amber","Red")),IF(ABS('02_Actuals'!K7/'01_Assumptions'!K29-1)&lt;='01_Assumptions'!$F$14,"Green",IF(ABS('02_Actuals'!K7/'01_Assumptions'!K29-1)&lt;='01_Assumptions'!$E$14,"Amber","Red")))))</f>
        <v/>
      </c>
      <c r="L23" s="30">
        <f>IF('01_Assumptions'!L29=0,"—",IF('01_Assumptions'!$D$14="H",IF('02_Actuals'!L7&gt;='01_Assumptions'!L29,"Green",IF('02_Actuals'!L7&gt;='01_Assumptions'!L29*(1-'01_Assumptions'!$E$14),"Amber","Red")),IF('01_Assumptions'!$D$14="L",IF('02_Actuals'!L7&lt;='01_Assumptions'!L29,"Green",IF('02_Actuals'!L7&lt;='01_Assumptions'!L29*(1+'01_Assumptions'!$E$14),"Amber","Red")),IF(ABS('02_Actuals'!L7/'01_Assumptions'!L29-1)&lt;='01_Assumptions'!$F$14,"Green",IF(ABS('02_Actuals'!L7/'01_Assumptions'!L29-1)&lt;='01_Assumptions'!$E$14,"Amber","Red")))))</f>
        <v/>
      </c>
      <c r="M23" s="30">
        <f>IF('01_Assumptions'!M29=0,"—",IF('01_Assumptions'!$D$14="H",IF('02_Actuals'!M7&gt;='01_Assumptions'!M29,"Green",IF('02_Actuals'!M7&gt;='01_Assumptions'!M29*(1-'01_Assumptions'!$E$14),"Amber","Red")),IF('01_Assumptions'!$D$14="L",IF('02_Actuals'!M7&lt;='01_Assumptions'!M29,"Green",IF('02_Actuals'!M7&lt;='01_Assumptions'!M29*(1+'01_Assumptions'!$E$14),"Amber","Red")),IF(ABS('02_Actuals'!M7/'01_Assumptions'!M29-1)&lt;='01_Assumptions'!$F$14,"Green",IF(ABS('02_Actuals'!M7/'01_Assumptions'!M29-1)&lt;='01_Assumptions'!$E$14,"Amber","Red")))))</f>
        <v/>
      </c>
      <c r="N23" s="30">
        <f>IF('01_Assumptions'!N29=0,"—",IF('01_Assumptions'!$D$14="H",IF('02_Actuals'!N7&gt;='01_Assumptions'!N29,"Green",IF('02_Actuals'!N7&gt;='01_Assumptions'!N29*(1-'01_Assumptions'!$E$14),"Amber","Red")),IF('01_Assumptions'!$D$14="L",IF('02_Actuals'!N7&lt;='01_Assumptions'!N29,"Green",IF('02_Actuals'!N7&lt;='01_Assumptions'!N29*(1+'01_Assumptions'!$E$14),"Amber","Red")),IF(ABS('02_Actuals'!N7/'01_Assumptions'!N29-1)&lt;='01_Assumptions'!$F$14,"Green",IF(ABS('02_Actuals'!N7/'01_Assumptions'!N29-1)&lt;='01_Assumptions'!$E$14,"Amber","Red")))))</f>
        <v/>
      </c>
    </row>
    <row r="24">
      <c r="B24" s="14" t="inlineStr">
        <is>
          <t>Gross margin %</t>
        </is>
      </c>
      <c r="C24" s="30">
        <f>IF('01_Assumptions'!C30=0,"—",IF('01_Assumptions'!$D$15="H",IF('02_Actuals'!C8&gt;='01_Assumptions'!C30,"Green",IF('02_Actuals'!C8&gt;='01_Assumptions'!C30*(1-'01_Assumptions'!$E$15),"Amber","Red")),IF('01_Assumptions'!$D$15="L",IF('02_Actuals'!C8&lt;='01_Assumptions'!C30,"Green",IF('02_Actuals'!C8&lt;='01_Assumptions'!C30*(1+'01_Assumptions'!$E$15),"Amber","Red")),IF(ABS('02_Actuals'!C8/'01_Assumptions'!C30-1)&lt;='01_Assumptions'!$F$15,"Green",IF(ABS('02_Actuals'!C8/'01_Assumptions'!C30-1)&lt;='01_Assumptions'!$E$15,"Amber","Red")))))</f>
        <v/>
      </c>
      <c r="D24" s="30">
        <f>IF('01_Assumptions'!D30=0,"—",IF('01_Assumptions'!$D$15="H",IF('02_Actuals'!D8&gt;='01_Assumptions'!D30,"Green",IF('02_Actuals'!D8&gt;='01_Assumptions'!D30*(1-'01_Assumptions'!$E$15),"Amber","Red")),IF('01_Assumptions'!$D$15="L",IF('02_Actuals'!D8&lt;='01_Assumptions'!D30,"Green",IF('02_Actuals'!D8&lt;='01_Assumptions'!D30*(1+'01_Assumptions'!$E$15),"Amber","Red")),IF(ABS('02_Actuals'!D8/'01_Assumptions'!D30-1)&lt;='01_Assumptions'!$F$15,"Green",IF(ABS('02_Actuals'!D8/'01_Assumptions'!D30-1)&lt;='01_Assumptions'!$E$15,"Amber","Red")))))</f>
        <v/>
      </c>
      <c r="E24" s="30">
        <f>IF('01_Assumptions'!E30=0,"—",IF('01_Assumptions'!$D$15="H",IF('02_Actuals'!E8&gt;='01_Assumptions'!E30,"Green",IF('02_Actuals'!E8&gt;='01_Assumptions'!E30*(1-'01_Assumptions'!$E$15),"Amber","Red")),IF('01_Assumptions'!$D$15="L",IF('02_Actuals'!E8&lt;='01_Assumptions'!E30,"Green",IF('02_Actuals'!E8&lt;='01_Assumptions'!E30*(1+'01_Assumptions'!$E$15),"Amber","Red")),IF(ABS('02_Actuals'!E8/'01_Assumptions'!E30-1)&lt;='01_Assumptions'!$F$15,"Green",IF(ABS('02_Actuals'!E8/'01_Assumptions'!E30-1)&lt;='01_Assumptions'!$E$15,"Amber","Red")))))</f>
        <v/>
      </c>
      <c r="F24" s="30">
        <f>IF('01_Assumptions'!F30=0,"—",IF('01_Assumptions'!$D$15="H",IF('02_Actuals'!F8&gt;='01_Assumptions'!F30,"Green",IF('02_Actuals'!F8&gt;='01_Assumptions'!F30*(1-'01_Assumptions'!$E$15),"Amber","Red")),IF('01_Assumptions'!$D$15="L",IF('02_Actuals'!F8&lt;='01_Assumptions'!F30,"Green",IF('02_Actuals'!F8&lt;='01_Assumptions'!F30*(1+'01_Assumptions'!$E$15),"Amber","Red")),IF(ABS('02_Actuals'!F8/'01_Assumptions'!F30-1)&lt;='01_Assumptions'!$F$15,"Green",IF(ABS('02_Actuals'!F8/'01_Assumptions'!F30-1)&lt;='01_Assumptions'!$E$15,"Amber","Red")))))</f>
        <v/>
      </c>
      <c r="G24" s="30">
        <f>IF('01_Assumptions'!G30=0,"—",IF('01_Assumptions'!$D$15="H",IF('02_Actuals'!G8&gt;='01_Assumptions'!G30,"Green",IF('02_Actuals'!G8&gt;='01_Assumptions'!G30*(1-'01_Assumptions'!$E$15),"Amber","Red")),IF('01_Assumptions'!$D$15="L",IF('02_Actuals'!G8&lt;='01_Assumptions'!G30,"Green",IF('02_Actuals'!G8&lt;='01_Assumptions'!G30*(1+'01_Assumptions'!$E$15),"Amber","Red")),IF(ABS('02_Actuals'!G8/'01_Assumptions'!G30-1)&lt;='01_Assumptions'!$F$15,"Green",IF(ABS('02_Actuals'!G8/'01_Assumptions'!G30-1)&lt;='01_Assumptions'!$E$15,"Amber","Red")))))</f>
        <v/>
      </c>
      <c r="H24" s="30">
        <f>IF('01_Assumptions'!H30=0,"—",IF('01_Assumptions'!$D$15="H",IF('02_Actuals'!H8&gt;='01_Assumptions'!H30,"Green",IF('02_Actuals'!H8&gt;='01_Assumptions'!H30*(1-'01_Assumptions'!$E$15),"Amber","Red")),IF('01_Assumptions'!$D$15="L",IF('02_Actuals'!H8&lt;='01_Assumptions'!H30,"Green",IF('02_Actuals'!H8&lt;='01_Assumptions'!H30*(1+'01_Assumptions'!$E$15),"Amber","Red")),IF(ABS('02_Actuals'!H8/'01_Assumptions'!H30-1)&lt;='01_Assumptions'!$F$15,"Green",IF(ABS('02_Actuals'!H8/'01_Assumptions'!H30-1)&lt;='01_Assumptions'!$E$15,"Amber","Red")))))</f>
        <v/>
      </c>
      <c r="I24" s="30">
        <f>IF('01_Assumptions'!I30=0,"—",IF('01_Assumptions'!$D$15="H",IF('02_Actuals'!I8&gt;='01_Assumptions'!I30,"Green",IF('02_Actuals'!I8&gt;='01_Assumptions'!I30*(1-'01_Assumptions'!$E$15),"Amber","Red")),IF('01_Assumptions'!$D$15="L",IF('02_Actuals'!I8&lt;='01_Assumptions'!I30,"Green",IF('02_Actuals'!I8&lt;='01_Assumptions'!I30*(1+'01_Assumptions'!$E$15),"Amber","Red")),IF(ABS('02_Actuals'!I8/'01_Assumptions'!I30-1)&lt;='01_Assumptions'!$F$15,"Green",IF(ABS('02_Actuals'!I8/'01_Assumptions'!I30-1)&lt;='01_Assumptions'!$E$15,"Amber","Red")))))</f>
        <v/>
      </c>
      <c r="J24" s="30">
        <f>IF('01_Assumptions'!J30=0,"—",IF('01_Assumptions'!$D$15="H",IF('02_Actuals'!J8&gt;='01_Assumptions'!J30,"Green",IF('02_Actuals'!J8&gt;='01_Assumptions'!J30*(1-'01_Assumptions'!$E$15),"Amber","Red")),IF('01_Assumptions'!$D$15="L",IF('02_Actuals'!J8&lt;='01_Assumptions'!J30,"Green",IF('02_Actuals'!J8&lt;='01_Assumptions'!J30*(1+'01_Assumptions'!$E$15),"Amber","Red")),IF(ABS('02_Actuals'!J8/'01_Assumptions'!J30-1)&lt;='01_Assumptions'!$F$15,"Green",IF(ABS('02_Actuals'!J8/'01_Assumptions'!J30-1)&lt;='01_Assumptions'!$E$15,"Amber","Red")))))</f>
        <v/>
      </c>
      <c r="K24" s="30">
        <f>IF('01_Assumptions'!K30=0,"—",IF('01_Assumptions'!$D$15="H",IF('02_Actuals'!K8&gt;='01_Assumptions'!K30,"Green",IF('02_Actuals'!K8&gt;='01_Assumptions'!K30*(1-'01_Assumptions'!$E$15),"Amber","Red")),IF('01_Assumptions'!$D$15="L",IF('02_Actuals'!K8&lt;='01_Assumptions'!K30,"Green",IF('02_Actuals'!K8&lt;='01_Assumptions'!K30*(1+'01_Assumptions'!$E$15),"Amber","Red")),IF(ABS('02_Actuals'!K8/'01_Assumptions'!K30-1)&lt;='01_Assumptions'!$F$15,"Green",IF(ABS('02_Actuals'!K8/'01_Assumptions'!K30-1)&lt;='01_Assumptions'!$E$15,"Amber","Red")))))</f>
        <v/>
      </c>
      <c r="L24" s="30">
        <f>IF('01_Assumptions'!L30=0,"—",IF('01_Assumptions'!$D$15="H",IF('02_Actuals'!L8&gt;='01_Assumptions'!L30,"Green",IF('02_Actuals'!L8&gt;='01_Assumptions'!L30*(1-'01_Assumptions'!$E$15),"Amber","Red")),IF('01_Assumptions'!$D$15="L",IF('02_Actuals'!L8&lt;='01_Assumptions'!L30,"Green",IF('02_Actuals'!L8&lt;='01_Assumptions'!L30*(1+'01_Assumptions'!$E$15),"Amber","Red")),IF(ABS('02_Actuals'!L8/'01_Assumptions'!L30-1)&lt;='01_Assumptions'!$F$15,"Green",IF(ABS('02_Actuals'!L8/'01_Assumptions'!L30-1)&lt;='01_Assumptions'!$E$15,"Amber","Red")))))</f>
        <v/>
      </c>
      <c r="M24" s="30">
        <f>IF('01_Assumptions'!M30=0,"—",IF('01_Assumptions'!$D$15="H",IF('02_Actuals'!M8&gt;='01_Assumptions'!M30,"Green",IF('02_Actuals'!M8&gt;='01_Assumptions'!M30*(1-'01_Assumptions'!$E$15),"Amber","Red")),IF('01_Assumptions'!$D$15="L",IF('02_Actuals'!M8&lt;='01_Assumptions'!M30,"Green",IF('02_Actuals'!M8&lt;='01_Assumptions'!M30*(1+'01_Assumptions'!$E$15),"Amber","Red")),IF(ABS('02_Actuals'!M8/'01_Assumptions'!M30-1)&lt;='01_Assumptions'!$F$15,"Green",IF(ABS('02_Actuals'!M8/'01_Assumptions'!M30-1)&lt;='01_Assumptions'!$E$15,"Amber","Red")))))</f>
        <v/>
      </c>
      <c r="N24" s="30">
        <f>IF('01_Assumptions'!N30=0,"—",IF('01_Assumptions'!$D$15="H",IF('02_Actuals'!N8&gt;='01_Assumptions'!N30,"Green",IF('02_Actuals'!N8&gt;='01_Assumptions'!N30*(1-'01_Assumptions'!$E$15),"Amber","Red")),IF('01_Assumptions'!$D$15="L",IF('02_Actuals'!N8&lt;='01_Assumptions'!N30,"Green",IF('02_Actuals'!N8&lt;='01_Assumptions'!N30*(1+'01_Assumptions'!$E$15),"Amber","Red")),IF(ABS('02_Actuals'!N8/'01_Assumptions'!N30-1)&lt;='01_Assumptions'!$F$15,"Green",IF(ABS('02_Actuals'!N8/'01_Assumptions'!N30-1)&lt;='01_Assumptions'!$E$15,"Amber","Red")))))</f>
        <v/>
      </c>
    </row>
    <row r="25">
      <c r="B25" s="14" t="inlineStr">
        <is>
          <t>EBITDA</t>
        </is>
      </c>
      <c r="C25" s="30">
        <f>IF('01_Assumptions'!C31=0,"—",IF('01_Assumptions'!$D$16="H",IF('02_Actuals'!C9&gt;='01_Assumptions'!C31,"Green",IF('02_Actuals'!C9&gt;='01_Assumptions'!C31*(1-'01_Assumptions'!$E$16),"Amber","Red")),IF('01_Assumptions'!$D$16="L",IF('02_Actuals'!C9&lt;='01_Assumptions'!C31,"Green",IF('02_Actuals'!C9&lt;='01_Assumptions'!C31*(1+'01_Assumptions'!$E$16),"Amber","Red")),IF(ABS('02_Actuals'!C9/'01_Assumptions'!C31-1)&lt;='01_Assumptions'!$F$16,"Green",IF(ABS('02_Actuals'!C9/'01_Assumptions'!C31-1)&lt;='01_Assumptions'!$E$16,"Amber","Red")))))</f>
        <v/>
      </c>
      <c r="D25" s="30">
        <f>IF('01_Assumptions'!D31=0,"—",IF('01_Assumptions'!$D$16="H",IF('02_Actuals'!D9&gt;='01_Assumptions'!D31,"Green",IF('02_Actuals'!D9&gt;='01_Assumptions'!D31*(1-'01_Assumptions'!$E$16),"Amber","Red")),IF('01_Assumptions'!$D$16="L",IF('02_Actuals'!D9&lt;='01_Assumptions'!D31,"Green",IF('02_Actuals'!D9&lt;='01_Assumptions'!D31*(1+'01_Assumptions'!$E$16),"Amber","Red")),IF(ABS('02_Actuals'!D9/'01_Assumptions'!D31-1)&lt;='01_Assumptions'!$F$16,"Green",IF(ABS('02_Actuals'!D9/'01_Assumptions'!D31-1)&lt;='01_Assumptions'!$E$16,"Amber","Red")))))</f>
        <v/>
      </c>
      <c r="E25" s="30">
        <f>IF('01_Assumptions'!E31=0,"—",IF('01_Assumptions'!$D$16="H",IF('02_Actuals'!E9&gt;='01_Assumptions'!E31,"Green",IF('02_Actuals'!E9&gt;='01_Assumptions'!E31*(1-'01_Assumptions'!$E$16),"Amber","Red")),IF('01_Assumptions'!$D$16="L",IF('02_Actuals'!E9&lt;='01_Assumptions'!E31,"Green",IF('02_Actuals'!E9&lt;='01_Assumptions'!E31*(1+'01_Assumptions'!$E$16),"Amber","Red")),IF(ABS('02_Actuals'!E9/'01_Assumptions'!E31-1)&lt;='01_Assumptions'!$F$16,"Green",IF(ABS('02_Actuals'!E9/'01_Assumptions'!E31-1)&lt;='01_Assumptions'!$E$16,"Amber","Red")))))</f>
        <v/>
      </c>
      <c r="F25" s="30">
        <f>IF('01_Assumptions'!F31=0,"—",IF('01_Assumptions'!$D$16="H",IF('02_Actuals'!F9&gt;='01_Assumptions'!F31,"Green",IF('02_Actuals'!F9&gt;='01_Assumptions'!F31*(1-'01_Assumptions'!$E$16),"Amber","Red")),IF('01_Assumptions'!$D$16="L",IF('02_Actuals'!F9&lt;='01_Assumptions'!F31,"Green",IF('02_Actuals'!F9&lt;='01_Assumptions'!F31*(1+'01_Assumptions'!$E$16),"Amber","Red")),IF(ABS('02_Actuals'!F9/'01_Assumptions'!F31-1)&lt;='01_Assumptions'!$F$16,"Green",IF(ABS('02_Actuals'!F9/'01_Assumptions'!F31-1)&lt;='01_Assumptions'!$E$16,"Amber","Red")))))</f>
        <v/>
      </c>
      <c r="G25" s="30">
        <f>IF('01_Assumptions'!G31=0,"—",IF('01_Assumptions'!$D$16="H",IF('02_Actuals'!G9&gt;='01_Assumptions'!G31,"Green",IF('02_Actuals'!G9&gt;='01_Assumptions'!G31*(1-'01_Assumptions'!$E$16),"Amber","Red")),IF('01_Assumptions'!$D$16="L",IF('02_Actuals'!G9&lt;='01_Assumptions'!G31,"Green",IF('02_Actuals'!G9&lt;='01_Assumptions'!G31*(1+'01_Assumptions'!$E$16),"Amber","Red")),IF(ABS('02_Actuals'!G9/'01_Assumptions'!G31-1)&lt;='01_Assumptions'!$F$16,"Green",IF(ABS('02_Actuals'!G9/'01_Assumptions'!G31-1)&lt;='01_Assumptions'!$E$16,"Amber","Red")))))</f>
        <v/>
      </c>
      <c r="H25" s="30">
        <f>IF('01_Assumptions'!H31=0,"—",IF('01_Assumptions'!$D$16="H",IF('02_Actuals'!H9&gt;='01_Assumptions'!H31,"Green",IF('02_Actuals'!H9&gt;='01_Assumptions'!H31*(1-'01_Assumptions'!$E$16),"Amber","Red")),IF('01_Assumptions'!$D$16="L",IF('02_Actuals'!H9&lt;='01_Assumptions'!H31,"Green",IF('02_Actuals'!H9&lt;='01_Assumptions'!H31*(1+'01_Assumptions'!$E$16),"Amber","Red")),IF(ABS('02_Actuals'!H9/'01_Assumptions'!H31-1)&lt;='01_Assumptions'!$F$16,"Green",IF(ABS('02_Actuals'!H9/'01_Assumptions'!H31-1)&lt;='01_Assumptions'!$E$16,"Amber","Red")))))</f>
        <v/>
      </c>
      <c r="I25" s="30">
        <f>IF('01_Assumptions'!I31=0,"—",IF('01_Assumptions'!$D$16="H",IF('02_Actuals'!I9&gt;='01_Assumptions'!I31,"Green",IF('02_Actuals'!I9&gt;='01_Assumptions'!I31*(1-'01_Assumptions'!$E$16),"Amber","Red")),IF('01_Assumptions'!$D$16="L",IF('02_Actuals'!I9&lt;='01_Assumptions'!I31,"Green",IF('02_Actuals'!I9&lt;='01_Assumptions'!I31*(1+'01_Assumptions'!$E$16),"Amber","Red")),IF(ABS('02_Actuals'!I9/'01_Assumptions'!I31-1)&lt;='01_Assumptions'!$F$16,"Green",IF(ABS('02_Actuals'!I9/'01_Assumptions'!I31-1)&lt;='01_Assumptions'!$E$16,"Amber","Red")))))</f>
        <v/>
      </c>
      <c r="J25" s="30">
        <f>IF('01_Assumptions'!J31=0,"—",IF('01_Assumptions'!$D$16="H",IF('02_Actuals'!J9&gt;='01_Assumptions'!J31,"Green",IF('02_Actuals'!J9&gt;='01_Assumptions'!J31*(1-'01_Assumptions'!$E$16),"Amber","Red")),IF('01_Assumptions'!$D$16="L",IF('02_Actuals'!J9&lt;='01_Assumptions'!J31,"Green",IF('02_Actuals'!J9&lt;='01_Assumptions'!J31*(1+'01_Assumptions'!$E$16),"Amber","Red")),IF(ABS('02_Actuals'!J9/'01_Assumptions'!J31-1)&lt;='01_Assumptions'!$F$16,"Green",IF(ABS('02_Actuals'!J9/'01_Assumptions'!J31-1)&lt;='01_Assumptions'!$E$16,"Amber","Red")))))</f>
        <v/>
      </c>
      <c r="K25" s="30">
        <f>IF('01_Assumptions'!K31=0,"—",IF('01_Assumptions'!$D$16="H",IF('02_Actuals'!K9&gt;='01_Assumptions'!K31,"Green",IF('02_Actuals'!K9&gt;='01_Assumptions'!K31*(1-'01_Assumptions'!$E$16),"Amber","Red")),IF('01_Assumptions'!$D$16="L",IF('02_Actuals'!K9&lt;='01_Assumptions'!K31,"Green",IF('02_Actuals'!K9&lt;='01_Assumptions'!K31*(1+'01_Assumptions'!$E$16),"Amber","Red")),IF(ABS('02_Actuals'!K9/'01_Assumptions'!K31-1)&lt;='01_Assumptions'!$F$16,"Green",IF(ABS('02_Actuals'!K9/'01_Assumptions'!K31-1)&lt;='01_Assumptions'!$E$16,"Amber","Red")))))</f>
        <v/>
      </c>
      <c r="L25" s="30">
        <f>IF('01_Assumptions'!L31=0,"—",IF('01_Assumptions'!$D$16="H",IF('02_Actuals'!L9&gt;='01_Assumptions'!L31,"Green",IF('02_Actuals'!L9&gt;='01_Assumptions'!L31*(1-'01_Assumptions'!$E$16),"Amber","Red")),IF('01_Assumptions'!$D$16="L",IF('02_Actuals'!L9&lt;='01_Assumptions'!L31,"Green",IF('02_Actuals'!L9&lt;='01_Assumptions'!L31*(1+'01_Assumptions'!$E$16),"Amber","Red")),IF(ABS('02_Actuals'!L9/'01_Assumptions'!L31-1)&lt;='01_Assumptions'!$F$16,"Green",IF(ABS('02_Actuals'!L9/'01_Assumptions'!L31-1)&lt;='01_Assumptions'!$E$16,"Amber","Red")))))</f>
        <v/>
      </c>
      <c r="M25" s="30">
        <f>IF('01_Assumptions'!M31=0,"—",IF('01_Assumptions'!$D$16="H",IF('02_Actuals'!M9&gt;='01_Assumptions'!M31,"Green",IF('02_Actuals'!M9&gt;='01_Assumptions'!M31*(1-'01_Assumptions'!$E$16),"Amber","Red")),IF('01_Assumptions'!$D$16="L",IF('02_Actuals'!M9&lt;='01_Assumptions'!M31,"Green",IF('02_Actuals'!M9&lt;='01_Assumptions'!M31*(1+'01_Assumptions'!$E$16),"Amber","Red")),IF(ABS('02_Actuals'!M9/'01_Assumptions'!M31-1)&lt;='01_Assumptions'!$F$16,"Green",IF(ABS('02_Actuals'!M9/'01_Assumptions'!M31-1)&lt;='01_Assumptions'!$E$16,"Amber","Red")))))</f>
        <v/>
      </c>
      <c r="N25" s="30">
        <f>IF('01_Assumptions'!N31=0,"—",IF('01_Assumptions'!$D$16="H",IF('02_Actuals'!N9&gt;='01_Assumptions'!N31,"Green",IF('02_Actuals'!N9&gt;='01_Assumptions'!N31*(1-'01_Assumptions'!$E$16),"Amber","Red")),IF('01_Assumptions'!$D$16="L",IF('02_Actuals'!N9&lt;='01_Assumptions'!N31,"Green",IF('02_Actuals'!N9&lt;='01_Assumptions'!N31*(1+'01_Assumptions'!$E$16),"Amber","Red")),IF(ABS('02_Actuals'!N9/'01_Assumptions'!N31-1)&lt;='01_Assumptions'!$F$16,"Green",IF(ABS('02_Actuals'!N9/'01_Assumptions'!N31-1)&lt;='01_Assumptions'!$E$16,"Amber","Red")))))</f>
        <v/>
      </c>
    </row>
    <row r="26">
      <c r="B26" s="14" t="inlineStr">
        <is>
          <t>Volume</t>
        </is>
      </c>
      <c r="C26" s="30">
        <f>IF('01_Assumptions'!C32=0,"—",IF('01_Assumptions'!$D$17="H",IF('02_Actuals'!C10&gt;='01_Assumptions'!C32,"Green",IF('02_Actuals'!C10&gt;='01_Assumptions'!C32*(1-'01_Assumptions'!$E$17),"Amber","Red")),IF('01_Assumptions'!$D$17="L",IF('02_Actuals'!C10&lt;='01_Assumptions'!C32,"Green",IF('02_Actuals'!C10&lt;='01_Assumptions'!C32*(1+'01_Assumptions'!$E$17),"Amber","Red")),IF(ABS('02_Actuals'!C10/'01_Assumptions'!C32-1)&lt;='01_Assumptions'!$F$17,"Green",IF(ABS('02_Actuals'!C10/'01_Assumptions'!C32-1)&lt;='01_Assumptions'!$E$17,"Amber","Red")))))</f>
        <v/>
      </c>
      <c r="D26" s="30">
        <f>IF('01_Assumptions'!D32=0,"—",IF('01_Assumptions'!$D$17="H",IF('02_Actuals'!D10&gt;='01_Assumptions'!D32,"Green",IF('02_Actuals'!D10&gt;='01_Assumptions'!D32*(1-'01_Assumptions'!$E$17),"Amber","Red")),IF('01_Assumptions'!$D$17="L",IF('02_Actuals'!D10&lt;='01_Assumptions'!D32,"Green",IF('02_Actuals'!D10&lt;='01_Assumptions'!D32*(1+'01_Assumptions'!$E$17),"Amber","Red")),IF(ABS('02_Actuals'!D10/'01_Assumptions'!D32-1)&lt;='01_Assumptions'!$F$17,"Green",IF(ABS('02_Actuals'!D10/'01_Assumptions'!D32-1)&lt;='01_Assumptions'!$E$17,"Amber","Red")))))</f>
        <v/>
      </c>
      <c r="E26" s="30">
        <f>IF('01_Assumptions'!E32=0,"—",IF('01_Assumptions'!$D$17="H",IF('02_Actuals'!E10&gt;='01_Assumptions'!E32,"Green",IF('02_Actuals'!E10&gt;='01_Assumptions'!E32*(1-'01_Assumptions'!$E$17),"Amber","Red")),IF('01_Assumptions'!$D$17="L",IF('02_Actuals'!E10&lt;='01_Assumptions'!E32,"Green",IF('02_Actuals'!E10&lt;='01_Assumptions'!E32*(1+'01_Assumptions'!$E$17),"Amber","Red")),IF(ABS('02_Actuals'!E10/'01_Assumptions'!E32-1)&lt;='01_Assumptions'!$F$17,"Green",IF(ABS('02_Actuals'!E10/'01_Assumptions'!E32-1)&lt;='01_Assumptions'!$E$17,"Amber","Red")))))</f>
        <v/>
      </c>
      <c r="F26" s="30">
        <f>IF('01_Assumptions'!F32=0,"—",IF('01_Assumptions'!$D$17="H",IF('02_Actuals'!F10&gt;='01_Assumptions'!F32,"Green",IF('02_Actuals'!F10&gt;='01_Assumptions'!F32*(1-'01_Assumptions'!$E$17),"Amber","Red")),IF('01_Assumptions'!$D$17="L",IF('02_Actuals'!F10&lt;='01_Assumptions'!F32,"Green",IF('02_Actuals'!F10&lt;='01_Assumptions'!F32*(1+'01_Assumptions'!$E$17),"Amber","Red")),IF(ABS('02_Actuals'!F10/'01_Assumptions'!F32-1)&lt;='01_Assumptions'!$F$17,"Green",IF(ABS('02_Actuals'!F10/'01_Assumptions'!F32-1)&lt;='01_Assumptions'!$E$17,"Amber","Red")))))</f>
        <v/>
      </c>
      <c r="G26" s="30">
        <f>IF('01_Assumptions'!G32=0,"—",IF('01_Assumptions'!$D$17="H",IF('02_Actuals'!G10&gt;='01_Assumptions'!G32,"Green",IF('02_Actuals'!G10&gt;='01_Assumptions'!G32*(1-'01_Assumptions'!$E$17),"Amber","Red")),IF('01_Assumptions'!$D$17="L",IF('02_Actuals'!G10&lt;='01_Assumptions'!G32,"Green",IF('02_Actuals'!G10&lt;='01_Assumptions'!G32*(1+'01_Assumptions'!$E$17),"Amber","Red")),IF(ABS('02_Actuals'!G10/'01_Assumptions'!G32-1)&lt;='01_Assumptions'!$F$17,"Green",IF(ABS('02_Actuals'!G10/'01_Assumptions'!G32-1)&lt;='01_Assumptions'!$E$17,"Amber","Red")))))</f>
        <v/>
      </c>
      <c r="H26" s="30">
        <f>IF('01_Assumptions'!H32=0,"—",IF('01_Assumptions'!$D$17="H",IF('02_Actuals'!H10&gt;='01_Assumptions'!H32,"Green",IF('02_Actuals'!H10&gt;='01_Assumptions'!H32*(1-'01_Assumptions'!$E$17),"Amber","Red")),IF('01_Assumptions'!$D$17="L",IF('02_Actuals'!H10&lt;='01_Assumptions'!H32,"Green",IF('02_Actuals'!H10&lt;='01_Assumptions'!H32*(1+'01_Assumptions'!$E$17),"Amber","Red")),IF(ABS('02_Actuals'!H10/'01_Assumptions'!H32-1)&lt;='01_Assumptions'!$F$17,"Green",IF(ABS('02_Actuals'!H10/'01_Assumptions'!H32-1)&lt;='01_Assumptions'!$E$17,"Amber","Red")))))</f>
        <v/>
      </c>
      <c r="I26" s="30">
        <f>IF('01_Assumptions'!I32=0,"—",IF('01_Assumptions'!$D$17="H",IF('02_Actuals'!I10&gt;='01_Assumptions'!I32,"Green",IF('02_Actuals'!I10&gt;='01_Assumptions'!I32*(1-'01_Assumptions'!$E$17),"Amber","Red")),IF('01_Assumptions'!$D$17="L",IF('02_Actuals'!I10&lt;='01_Assumptions'!I32,"Green",IF('02_Actuals'!I10&lt;='01_Assumptions'!I32*(1+'01_Assumptions'!$E$17),"Amber","Red")),IF(ABS('02_Actuals'!I10/'01_Assumptions'!I32-1)&lt;='01_Assumptions'!$F$17,"Green",IF(ABS('02_Actuals'!I10/'01_Assumptions'!I32-1)&lt;='01_Assumptions'!$E$17,"Amber","Red")))))</f>
        <v/>
      </c>
      <c r="J26" s="30">
        <f>IF('01_Assumptions'!J32=0,"—",IF('01_Assumptions'!$D$17="H",IF('02_Actuals'!J10&gt;='01_Assumptions'!J32,"Green",IF('02_Actuals'!J10&gt;='01_Assumptions'!J32*(1-'01_Assumptions'!$E$17),"Amber","Red")),IF('01_Assumptions'!$D$17="L",IF('02_Actuals'!J10&lt;='01_Assumptions'!J32,"Green",IF('02_Actuals'!J10&lt;='01_Assumptions'!J32*(1+'01_Assumptions'!$E$17),"Amber","Red")),IF(ABS('02_Actuals'!J10/'01_Assumptions'!J32-1)&lt;='01_Assumptions'!$F$17,"Green",IF(ABS('02_Actuals'!J10/'01_Assumptions'!J32-1)&lt;='01_Assumptions'!$E$17,"Amber","Red")))))</f>
        <v/>
      </c>
      <c r="K26" s="30">
        <f>IF('01_Assumptions'!K32=0,"—",IF('01_Assumptions'!$D$17="H",IF('02_Actuals'!K10&gt;='01_Assumptions'!K32,"Green",IF('02_Actuals'!K10&gt;='01_Assumptions'!K32*(1-'01_Assumptions'!$E$17),"Amber","Red")),IF('01_Assumptions'!$D$17="L",IF('02_Actuals'!K10&lt;='01_Assumptions'!K32,"Green",IF('02_Actuals'!K10&lt;='01_Assumptions'!K32*(1+'01_Assumptions'!$E$17),"Amber","Red")),IF(ABS('02_Actuals'!K10/'01_Assumptions'!K32-1)&lt;='01_Assumptions'!$F$17,"Green",IF(ABS('02_Actuals'!K10/'01_Assumptions'!K32-1)&lt;='01_Assumptions'!$E$17,"Amber","Red")))))</f>
        <v/>
      </c>
      <c r="L26" s="30">
        <f>IF('01_Assumptions'!L32=0,"—",IF('01_Assumptions'!$D$17="H",IF('02_Actuals'!L10&gt;='01_Assumptions'!L32,"Green",IF('02_Actuals'!L10&gt;='01_Assumptions'!L32*(1-'01_Assumptions'!$E$17),"Amber","Red")),IF('01_Assumptions'!$D$17="L",IF('02_Actuals'!L10&lt;='01_Assumptions'!L32,"Green",IF('02_Actuals'!L10&lt;='01_Assumptions'!L32*(1+'01_Assumptions'!$E$17),"Amber","Red")),IF(ABS('02_Actuals'!L10/'01_Assumptions'!L32-1)&lt;='01_Assumptions'!$F$17,"Green",IF(ABS('02_Actuals'!L10/'01_Assumptions'!L32-1)&lt;='01_Assumptions'!$E$17,"Amber","Red")))))</f>
        <v/>
      </c>
      <c r="M26" s="30">
        <f>IF('01_Assumptions'!M32=0,"—",IF('01_Assumptions'!$D$17="H",IF('02_Actuals'!M10&gt;='01_Assumptions'!M32,"Green",IF('02_Actuals'!M10&gt;='01_Assumptions'!M32*(1-'01_Assumptions'!$E$17),"Amber","Red")),IF('01_Assumptions'!$D$17="L",IF('02_Actuals'!M10&lt;='01_Assumptions'!M32,"Green",IF('02_Actuals'!M10&lt;='01_Assumptions'!M32*(1+'01_Assumptions'!$E$17),"Amber","Red")),IF(ABS('02_Actuals'!M10/'01_Assumptions'!M32-1)&lt;='01_Assumptions'!$F$17,"Green",IF(ABS('02_Actuals'!M10/'01_Assumptions'!M32-1)&lt;='01_Assumptions'!$E$17,"Amber","Red")))))</f>
        <v/>
      </c>
      <c r="N26" s="30">
        <f>IF('01_Assumptions'!N32=0,"—",IF('01_Assumptions'!$D$17="H",IF('02_Actuals'!N10&gt;='01_Assumptions'!N32,"Green",IF('02_Actuals'!N10&gt;='01_Assumptions'!N32*(1-'01_Assumptions'!$E$17),"Amber","Red")),IF('01_Assumptions'!$D$17="L",IF('02_Actuals'!N10&lt;='01_Assumptions'!N32,"Green",IF('02_Actuals'!N10&lt;='01_Assumptions'!N32*(1+'01_Assumptions'!$E$17),"Amber","Red")),IF(ABS('02_Actuals'!N10/'01_Assumptions'!N32-1)&lt;='01_Assumptions'!$F$17,"Green",IF(ABS('02_Actuals'!N10/'01_Assumptions'!N32-1)&lt;='01_Assumptions'!$E$17,"Amber","Red")))))</f>
        <v/>
      </c>
    </row>
    <row r="27">
      <c r="B27" s="14" t="inlineStr">
        <is>
          <t>OTIF %</t>
        </is>
      </c>
      <c r="C27" s="30">
        <f>IF('01_Assumptions'!C33=0,"—",IF('01_Assumptions'!$D$18="H",IF('02_Actuals'!C11&gt;='01_Assumptions'!C33,"Green",IF('02_Actuals'!C11&gt;='01_Assumptions'!C33*(1-'01_Assumptions'!$E$18),"Amber","Red")),IF('01_Assumptions'!$D$18="L",IF('02_Actuals'!C11&lt;='01_Assumptions'!C33,"Green",IF('02_Actuals'!C11&lt;='01_Assumptions'!C33*(1+'01_Assumptions'!$E$18),"Amber","Red")),IF(ABS('02_Actuals'!C11/'01_Assumptions'!C33-1)&lt;='01_Assumptions'!$F$18,"Green",IF(ABS('02_Actuals'!C11/'01_Assumptions'!C33-1)&lt;='01_Assumptions'!$E$18,"Amber","Red")))))</f>
        <v/>
      </c>
      <c r="D27" s="30">
        <f>IF('01_Assumptions'!D33=0,"—",IF('01_Assumptions'!$D$18="H",IF('02_Actuals'!D11&gt;='01_Assumptions'!D33,"Green",IF('02_Actuals'!D11&gt;='01_Assumptions'!D33*(1-'01_Assumptions'!$E$18),"Amber","Red")),IF('01_Assumptions'!$D$18="L",IF('02_Actuals'!D11&lt;='01_Assumptions'!D33,"Green",IF('02_Actuals'!D11&lt;='01_Assumptions'!D33*(1+'01_Assumptions'!$E$18),"Amber","Red")),IF(ABS('02_Actuals'!D11/'01_Assumptions'!D33-1)&lt;='01_Assumptions'!$F$18,"Green",IF(ABS('02_Actuals'!D11/'01_Assumptions'!D33-1)&lt;='01_Assumptions'!$E$18,"Amber","Red")))))</f>
        <v/>
      </c>
      <c r="E27" s="30">
        <f>IF('01_Assumptions'!E33=0,"—",IF('01_Assumptions'!$D$18="H",IF('02_Actuals'!E11&gt;='01_Assumptions'!E33,"Green",IF('02_Actuals'!E11&gt;='01_Assumptions'!E33*(1-'01_Assumptions'!$E$18),"Amber","Red")),IF('01_Assumptions'!$D$18="L",IF('02_Actuals'!E11&lt;='01_Assumptions'!E33,"Green",IF('02_Actuals'!E11&lt;='01_Assumptions'!E33*(1+'01_Assumptions'!$E$18),"Amber","Red")),IF(ABS('02_Actuals'!E11/'01_Assumptions'!E33-1)&lt;='01_Assumptions'!$F$18,"Green",IF(ABS('02_Actuals'!E11/'01_Assumptions'!E33-1)&lt;='01_Assumptions'!$E$18,"Amber","Red")))))</f>
        <v/>
      </c>
      <c r="F27" s="30">
        <f>IF('01_Assumptions'!F33=0,"—",IF('01_Assumptions'!$D$18="H",IF('02_Actuals'!F11&gt;='01_Assumptions'!F33,"Green",IF('02_Actuals'!F11&gt;='01_Assumptions'!F33*(1-'01_Assumptions'!$E$18),"Amber","Red")),IF('01_Assumptions'!$D$18="L",IF('02_Actuals'!F11&lt;='01_Assumptions'!F33,"Green",IF('02_Actuals'!F11&lt;='01_Assumptions'!F33*(1+'01_Assumptions'!$E$18),"Amber","Red")),IF(ABS('02_Actuals'!F11/'01_Assumptions'!F33-1)&lt;='01_Assumptions'!$F$18,"Green",IF(ABS('02_Actuals'!F11/'01_Assumptions'!F33-1)&lt;='01_Assumptions'!$E$18,"Amber","Red")))))</f>
        <v/>
      </c>
      <c r="G27" s="30">
        <f>IF('01_Assumptions'!G33=0,"—",IF('01_Assumptions'!$D$18="H",IF('02_Actuals'!G11&gt;='01_Assumptions'!G33,"Green",IF('02_Actuals'!G11&gt;='01_Assumptions'!G33*(1-'01_Assumptions'!$E$18),"Amber","Red")),IF('01_Assumptions'!$D$18="L",IF('02_Actuals'!G11&lt;='01_Assumptions'!G33,"Green",IF('02_Actuals'!G11&lt;='01_Assumptions'!G33*(1+'01_Assumptions'!$E$18),"Amber","Red")),IF(ABS('02_Actuals'!G11/'01_Assumptions'!G33-1)&lt;='01_Assumptions'!$F$18,"Green",IF(ABS('02_Actuals'!G11/'01_Assumptions'!G33-1)&lt;='01_Assumptions'!$E$18,"Amber","Red")))))</f>
        <v/>
      </c>
      <c r="H27" s="30">
        <f>IF('01_Assumptions'!H33=0,"—",IF('01_Assumptions'!$D$18="H",IF('02_Actuals'!H11&gt;='01_Assumptions'!H33,"Green",IF('02_Actuals'!H11&gt;='01_Assumptions'!H33*(1-'01_Assumptions'!$E$18),"Amber","Red")),IF('01_Assumptions'!$D$18="L",IF('02_Actuals'!H11&lt;='01_Assumptions'!H33,"Green",IF('02_Actuals'!H11&lt;='01_Assumptions'!H33*(1+'01_Assumptions'!$E$18),"Amber","Red")),IF(ABS('02_Actuals'!H11/'01_Assumptions'!H33-1)&lt;='01_Assumptions'!$F$18,"Green",IF(ABS('02_Actuals'!H11/'01_Assumptions'!H33-1)&lt;='01_Assumptions'!$E$18,"Amber","Red")))))</f>
        <v/>
      </c>
      <c r="I27" s="30">
        <f>IF('01_Assumptions'!I33=0,"—",IF('01_Assumptions'!$D$18="H",IF('02_Actuals'!I11&gt;='01_Assumptions'!I33,"Green",IF('02_Actuals'!I11&gt;='01_Assumptions'!I33*(1-'01_Assumptions'!$E$18),"Amber","Red")),IF('01_Assumptions'!$D$18="L",IF('02_Actuals'!I11&lt;='01_Assumptions'!I33,"Green",IF('02_Actuals'!I11&lt;='01_Assumptions'!I33*(1+'01_Assumptions'!$E$18),"Amber","Red")),IF(ABS('02_Actuals'!I11/'01_Assumptions'!I33-1)&lt;='01_Assumptions'!$F$18,"Green",IF(ABS('02_Actuals'!I11/'01_Assumptions'!I33-1)&lt;='01_Assumptions'!$E$18,"Amber","Red")))))</f>
        <v/>
      </c>
      <c r="J27" s="30">
        <f>IF('01_Assumptions'!J33=0,"—",IF('01_Assumptions'!$D$18="H",IF('02_Actuals'!J11&gt;='01_Assumptions'!J33,"Green",IF('02_Actuals'!J11&gt;='01_Assumptions'!J33*(1-'01_Assumptions'!$E$18),"Amber","Red")),IF('01_Assumptions'!$D$18="L",IF('02_Actuals'!J11&lt;='01_Assumptions'!J33,"Green",IF('02_Actuals'!J11&lt;='01_Assumptions'!J33*(1+'01_Assumptions'!$E$18),"Amber","Red")),IF(ABS('02_Actuals'!J11/'01_Assumptions'!J33-1)&lt;='01_Assumptions'!$F$18,"Green",IF(ABS('02_Actuals'!J11/'01_Assumptions'!J33-1)&lt;='01_Assumptions'!$E$18,"Amber","Red")))))</f>
        <v/>
      </c>
      <c r="K27" s="30">
        <f>IF('01_Assumptions'!K33=0,"—",IF('01_Assumptions'!$D$18="H",IF('02_Actuals'!K11&gt;='01_Assumptions'!K33,"Green",IF('02_Actuals'!K11&gt;='01_Assumptions'!K33*(1-'01_Assumptions'!$E$18),"Amber","Red")),IF('01_Assumptions'!$D$18="L",IF('02_Actuals'!K11&lt;='01_Assumptions'!K33,"Green",IF('02_Actuals'!K11&lt;='01_Assumptions'!K33*(1+'01_Assumptions'!$E$18),"Amber","Red")),IF(ABS('02_Actuals'!K11/'01_Assumptions'!K33-1)&lt;='01_Assumptions'!$F$18,"Green",IF(ABS('02_Actuals'!K11/'01_Assumptions'!K33-1)&lt;='01_Assumptions'!$E$18,"Amber","Red")))))</f>
        <v/>
      </c>
      <c r="L27" s="30">
        <f>IF('01_Assumptions'!L33=0,"—",IF('01_Assumptions'!$D$18="H",IF('02_Actuals'!L11&gt;='01_Assumptions'!L33,"Green",IF('02_Actuals'!L11&gt;='01_Assumptions'!L33*(1-'01_Assumptions'!$E$18),"Amber","Red")),IF('01_Assumptions'!$D$18="L",IF('02_Actuals'!L11&lt;='01_Assumptions'!L33,"Green",IF('02_Actuals'!L11&lt;='01_Assumptions'!L33*(1+'01_Assumptions'!$E$18),"Amber","Red")),IF(ABS('02_Actuals'!L11/'01_Assumptions'!L33-1)&lt;='01_Assumptions'!$F$18,"Green",IF(ABS('02_Actuals'!L11/'01_Assumptions'!L33-1)&lt;='01_Assumptions'!$E$18,"Amber","Red")))))</f>
        <v/>
      </c>
      <c r="M27" s="30">
        <f>IF('01_Assumptions'!M33=0,"—",IF('01_Assumptions'!$D$18="H",IF('02_Actuals'!M11&gt;='01_Assumptions'!M33,"Green",IF('02_Actuals'!M11&gt;='01_Assumptions'!M33*(1-'01_Assumptions'!$E$18),"Amber","Red")),IF('01_Assumptions'!$D$18="L",IF('02_Actuals'!M11&lt;='01_Assumptions'!M33,"Green",IF('02_Actuals'!M11&lt;='01_Assumptions'!M33*(1+'01_Assumptions'!$E$18),"Amber","Red")),IF(ABS('02_Actuals'!M11/'01_Assumptions'!M33-1)&lt;='01_Assumptions'!$F$18,"Green",IF(ABS('02_Actuals'!M11/'01_Assumptions'!M33-1)&lt;='01_Assumptions'!$E$18,"Amber","Red")))))</f>
        <v/>
      </c>
      <c r="N27" s="30">
        <f>IF('01_Assumptions'!N33=0,"—",IF('01_Assumptions'!$D$18="H",IF('02_Actuals'!N11&gt;='01_Assumptions'!N33,"Green",IF('02_Actuals'!N11&gt;='01_Assumptions'!N33*(1-'01_Assumptions'!$E$18),"Amber","Red")),IF('01_Assumptions'!$D$18="L",IF('02_Actuals'!N11&lt;='01_Assumptions'!N33,"Green",IF('02_Actuals'!N11&lt;='01_Assumptions'!N33*(1+'01_Assumptions'!$E$18),"Amber","Red")),IF(ABS('02_Actuals'!N11/'01_Assumptions'!N33-1)&lt;='01_Assumptions'!$F$18,"Green",IF(ABS('02_Actuals'!N11/'01_Assumptions'!N33-1)&lt;='01_Assumptions'!$E$18,"Amber","Red")))))</f>
        <v/>
      </c>
    </row>
    <row r="28">
      <c r="B28" s="14" t="inlineStr">
        <is>
          <t>Scrap %</t>
        </is>
      </c>
      <c r="C28" s="30">
        <f>IF('01_Assumptions'!C34=0,"—",IF('01_Assumptions'!$D$19="H",IF('02_Actuals'!C12&gt;='01_Assumptions'!C34,"Green",IF('02_Actuals'!C12&gt;='01_Assumptions'!C34*(1-'01_Assumptions'!$E$19),"Amber","Red")),IF('01_Assumptions'!$D$19="L",IF('02_Actuals'!C12&lt;='01_Assumptions'!C34,"Green",IF('02_Actuals'!C12&lt;='01_Assumptions'!C34*(1+'01_Assumptions'!$E$19),"Amber","Red")),IF(ABS('02_Actuals'!C12/'01_Assumptions'!C34-1)&lt;='01_Assumptions'!$F$19,"Green",IF(ABS('02_Actuals'!C12/'01_Assumptions'!C34-1)&lt;='01_Assumptions'!$E$19,"Amber","Red")))))</f>
        <v/>
      </c>
      <c r="D28" s="30">
        <f>IF('01_Assumptions'!D34=0,"—",IF('01_Assumptions'!$D$19="H",IF('02_Actuals'!D12&gt;='01_Assumptions'!D34,"Green",IF('02_Actuals'!D12&gt;='01_Assumptions'!D34*(1-'01_Assumptions'!$E$19),"Amber","Red")),IF('01_Assumptions'!$D$19="L",IF('02_Actuals'!D12&lt;='01_Assumptions'!D34,"Green",IF('02_Actuals'!D12&lt;='01_Assumptions'!D34*(1+'01_Assumptions'!$E$19),"Amber","Red")),IF(ABS('02_Actuals'!D12/'01_Assumptions'!D34-1)&lt;='01_Assumptions'!$F$19,"Green",IF(ABS('02_Actuals'!D12/'01_Assumptions'!D34-1)&lt;='01_Assumptions'!$E$19,"Amber","Red")))))</f>
        <v/>
      </c>
      <c r="E28" s="30">
        <f>IF('01_Assumptions'!E34=0,"—",IF('01_Assumptions'!$D$19="H",IF('02_Actuals'!E12&gt;='01_Assumptions'!E34,"Green",IF('02_Actuals'!E12&gt;='01_Assumptions'!E34*(1-'01_Assumptions'!$E$19),"Amber","Red")),IF('01_Assumptions'!$D$19="L",IF('02_Actuals'!E12&lt;='01_Assumptions'!E34,"Green",IF('02_Actuals'!E12&lt;='01_Assumptions'!E34*(1+'01_Assumptions'!$E$19),"Amber","Red")),IF(ABS('02_Actuals'!E12/'01_Assumptions'!E34-1)&lt;='01_Assumptions'!$F$19,"Green",IF(ABS('02_Actuals'!E12/'01_Assumptions'!E34-1)&lt;='01_Assumptions'!$E$19,"Amber","Red")))))</f>
        <v/>
      </c>
      <c r="F28" s="30">
        <f>IF('01_Assumptions'!F34=0,"—",IF('01_Assumptions'!$D$19="H",IF('02_Actuals'!F12&gt;='01_Assumptions'!F34,"Green",IF('02_Actuals'!F12&gt;='01_Assumptions'!F34*(1-'01_Assumptions'!$E$19),"Amber","Red")),IF('01_Assumptions'!$D$19="L",IF('02_Actuals'!F12&lt;='01_Assumptions'!F34,"Green",IF('02_Actuals'!F12&lt;='01_Assumptions'!F34*(1+'01_Assumptions'!$E$19),"Amber","Red")),IF(ABS('02_Actuals'!F12/'01_Assumptions'!F34-1)&lt;='01_Assumptions'!$F$19,"Green",IF(ABS('02_Actuals'!F12/'01_Assumptions'!F34-1)&lt;='01_Assumptions'!$E$19,"Amber","Red")))))</f>
        <v/>
      </c>
      <c r="G28" s="30">
        <f>IF('01_Assumptions'!G34=0,"—",IF('01_Assumptions'!$D$19="H",IF('02_Actuals'!G12&gt;='01_Assumptions'!G34,"Green",IF('02_Actuals'!G12&gt;='01_Assumptions'!G34*(1-'01_Assumptions'!$E$19),"Amber","Red")),IF('01_Assumptions'!$D$19="L",IF('02_Actuals'!G12&lt;='01_Assumptions'!G34,"Green",IF('02_Actuals'!G12&lt;='01_Assumptions'!G34*(1+'01_Assumptions'!$E$19),"Amber","Red")),IF(ABS('02_Actuals'!G12/'01_Assumptions'!G34-1)&lt;='01_Assumptions'!$F$19,"Green",IF(ABS('02_Actuals'!G12/'01_Assumptions'!G34-1)&lt;='01_Assumptions'!$E$19,"Amber","Red")))))</f>
        <v/>
      </c>
      <c r="H28" s="30">
        <f>IF('01_Assumptions'!H34=0,"—",IF('01_Assumptions'!$D$19="H",IF('02_Actuals'!H12&gt;='01_Assumptions'!H34,"Green",IF('02_Actuals'!H12&gt;='01_Assumptions'!H34*(1-'01_Assumptions'!$E$19),"Amber","Red")),IF('01_Assumptions'!$D$19="L",IF('02_Actuals'!H12&lt;='01_Assumptions'!H34,"Green",IF('02_Actuals'!H12&lt;='01_Assumptions'!H34*(1+'01_Assumptions'!$E$19),"Amber","Red")),IF(ABS('02_Actuals'!H12/'01_Assumptions'!H34-1)&lt;='01_Assumptions'!$F$19,"Green",IF(ABS('02_Actuals'!H12/'01_Assumptions'!H34-1)&lt;='01_Assumptions'!$E$19,"Amber","Red")))))</f>
        <v/>
      </c>
      <c r="I28" s="30">
        <f>IF('01_Assumptions'!I34=0,"—",IF('01_Assumptions'!$D$19="H",IF('02_Actuals'!I12&gt;='01_Assumptions'!I34,"Green",IF('02_Actuals'!I12&gt;='01_Assumptions'!I34*(1-'01_Assumptions'!$E$19),"Amber","Red")),IF('01_Assumptions'!$D$19="L",IF('02_Actuals'!I12&lt;='01_Assumptions'!I34,"Green",IF('02_Actuals'!I12&lt;='01_Assumptions'!I34*(1+'01_Assumptions'!$E$19),"Amber","Red")),IF(ABS('02_Actuals'!I12/'01_Assumptions'!I34-1)&lt;='01_Assumptions'!$F$19,"Green",IF(ABS('02_Actuals'!I12/'01_Assumptions'!I34-1)&lt;='01_Assumptions'!$E$19,"Amber","Red")))))</f>
        <v/>
      </c>
      <c r="J28" s="30">
        <f>IF('01_Assumptions'!J34=0,"—",IF('01_Assumptions'!$D$19="H",IF('02_Actuals'!J12&gt;='01_Assumptions'!J34,"Green",IF('02_Actuals'!J12&gt;='01_Assumptions'!J34*(1-'01_Assumptions'!$E$19),"Amber","Red")),IF('01_Assumptions'!$D$19="L",IF('02_Actuals'!J12&lt;='01_Assumptions'!J34,"Green",IF('02_Actuals'!J12&lt;='01_Assumptions'!J34*(1+'01_Assumptions'!$E$19),"Amber","Red")),IF(ABS('02_Actuals'!J12/'01_Assumptions'!J34-1)&lt;='01_Assumptions'!$F$19,"Green",IF(ABS('02_Actuals'!J12/'01_Assumptions'!J34-1)&lt;='01_Assumptions'!$E$19,"Amber","Red")))))</f>
        <v/>
      </c>
      <c r="K28" s="30">
        <f>IF('01_Assumptions'!K34=0,"—",IF('01_Assumptions'!$D$19="H",IF('02_Actuals'!K12&gt;='01_Assumptions'!K34,"Green",IF('02_Actuals'!K12&gt;='01_Assumptions'!K34*(1-'01_Assumptions'!$E$19),"Amber","Red")),IF('01_Assumptions'!$D$19="L",IF('02_Actuals'!K12&lt;='01_Assumptions'!K34,"Green",IF('02_Actuals'!K12&lt;='01_Assumptions'!K34*(1+'01_Assumptions'!$E$19),"Amber","Red")),IF(ABS('02_Actuals'!K12/'01_Assumptions'!K34-1)&lt;='01_Assumptions'!$F$19,"Green",IF(ABS('02_Actuals'!K12/'01_Assumptions'!K34-1)&lt;='01_Assumptions'!$E$19,"Amber","Red")))))</f>
        <v/>
      </c>
      <c r="L28" s="30">
        <f>IF('01_Assumptions'!L34=0,"—",IF('01_Assumptions'!$D$19="H",IF('02_Actuals'!L12&gt;='01_Assumptions'!L34,"Green",IF('02_Actuals'!L12&gt;='01_Assumptions'!L34*(1-'01_Assumptions'!$E$19),"Amber","Red")),IF('01_Assumptions'!$D$19="L",IF('02_Actuals'!L12&lt;='01_Assumptions'!L34,"Green",IF('02_Actuals'!L12&lt;='01_Assumptions'!L34*(1+'01_Assumptions'!$E$19),"Amber","Red")),IF(ABS('02_Actuals'!L12/'01_Assumptions'!L34-1)&lt;='01_Assumptions'!$F$19,"Green",IF(ABS('02_Actuals'!L12/'01_Assumptions'!L34-1)&lt;='01_Assumptions'!$E$19,"Amber","Red")))))</f>
        <v/>
      </c>
      <c r="M28" s="30">
        <f>IF('01_Assumptions'!M34=0,"—",IF('01_Assumptions'!$D$19="H",IF('02_Actuals'!M12&gt;='01_Assumptions'!M34,"Green",IF('02_Actuals'!M12&gt;='01_Assumptions'!M34*(1-'01_Assumptions'!$E$19),"Amber","Red")),IF('01_Assumptions'!$D$19="L",IF('02_Actuals'!M12&lt;='01_Assumptions'!M34,"Green",IF('02_Actuals'!M12&lt;='01_Assumptions'!M34*(1+'01_Assumptions'!$E$19),"Amber","Red")),IF(ABS('02_Actuals'!M12/'01_Assumptions'!M34-1)&lt;='01_Assumptions'!$F$19,"Green",IF(ABS('02_Actuals'!M12/'01_Assumptions'!M34-1)&lt;='01_Assumptions'!$E$19,"Amber","Red")))))</f>
        <v/>
      </c>
      <c r="N28" s="30">
        <f>IF('01_Assumptions'!N34=0,"—",IF('01_Assumptions'!$D$19="H",IF('02_Actuals'!N12&gt;='01_Assumptions'!N34,"Green",IF('02_Actuals'!N12&gt;='01_Assumptions'!N34*(1-'01_Assumptions'!$E$19),"Amber","Red")),IF('01_Assumptions'!$D$19="L",IF('02_Actuals'!N12&lt;='01_Assumptions'!N34,"Green",IF('02_Actuals'!N12&lt;='01_Assumptions'!N34*(1+'01_Assumptions'!$E$19),"Amber","Red")),IF(ABS('02_Actuals'!N12/'01_Assumptions'!N34-1)&lt;='01_Assumptions'!$F$19,"Green",IF(ABS('02_Actuals'!N12/'01_Assumptions'!N34-1)&lt;='01_Assumptions'!$E$19,"Amber","Red")))))</f>
        <v/>
      </c>
    </row>
    <row r="29">
      <c r="B29" s="14" t="inlineStr">
        <is>
          <t>DSO</t>
        </is>
      </c>
      <c r="C29" s="30">
        <f>IF('01_Assumptions'!C35=0,"—",IF('01_Assumptions'!$D$20="H",IF('02_Actuals'!C13&gt;='01_Assumptions'!C35,"Green",IF('02_Actuals'!C13&gt;='01_Assumptions'!C35*(1-'01_Assumptions'!$E$20),"Amber","Red")),IF('01_Assumptions'!$D$20="L",IF('02_Actuals'!C13&lt;='01_Assumptions'!C35,"Green",IF('02_Actuals'!C13&lt;='01_Assumptions'!C35*(1+'01_Assumptions'!$E$20),"Amber","Red")),IF(ABS('02_Actuals'!C13/'01_Assumptions'!C35-1)&lt;='01_Assumptions'!$F$20,"Green",IF(ABS('02_Actuals'!C13/'01_Assumptions'!C35-1)&lt;='01_Assumptions'!$E$20,"Amber","Red")))))</f>
        <v/>
      </c>
      <c r="D29" s="30">
        <f>IF('01_Assumptions'!D35=0,"—",IF('01_Assumptions'!$D$20="H",IF('02_Actuals'!D13&gt;='01_Assumptions'!D35,"Green",IF('02_Actuals'!D13&gt;='01_Assumptions'!D35*(1-'01_Assumptions'!$E$20),"Amber","Red")),IF('01_Assumptions'!$D$20="L",IF('02_Actuals'!D13&lt;='01_Assumptions'!D35,"Green",IF('02_Actuals'!D13&lt;='01_Assumptions'!D35*(1+'01_Assumptions'!$E$20),"Amber","Red")),IF(ABS('02_Actuals'!D13/'01_Assumptions'!D35-1)&lt;='01_Assumptions'!$F$20,"Green",IF(ABS('02_Actuals'!D13/'01_Assumptions'!D35-1)&lt;='01_Assumptions'!$E$20,"Amber","Red")))))</f>
        <v/>
      </c>
      <c r="E29" s="30">
        <f>IF('01_Assumptions'!E35=0,"—",IF('01_Assumptions'!$D$20="H",IF('02_Actuals'!E13&gt;='01_Assumptions'!E35,"Green",IF('02_Actuals'!E13&gt;='01_Assumptions'!E35*(1-'01_Assumptions'!$E$20),"Amber","Red")),IF('01_Assumptions'!$D$20="L",IF('02_Actuals'!E13&lt;='01_Assumptions'!E35,"Green",IF('02_Actuals'!E13&lt;='01_Assumptions'!E35*(1+'01_Assumptions'!$E$20),"Amber","Red")),IF(ABS('02_Actuals'!E13/'01_Assumptions'!E35-1)&lt;='01_Assumptions'!$F$20,"Green",IF(ABS('02_Actuals'!E13/'01_Assumptions'!E35-1)&lt;='01_Assumptions'!$E$20,"Amber","Red")))))</f>
        <v/>
      </c>
      <c r="F29" s="30">
        <f>IF('01_Assumptions'!F35=0,"—",IF('01_Assumptions'!$D$20="H",IF('02_Actuals'!F13&gt;='01_Assumptions'!F35,"Green",IF('02_Actuals'!F13&gt;='01_Assumptions'!F35*(1-'01_Assumptions'!$E$20),"Amber","Red")),IF('01_Assumptions'!$D$20="L",IF('02_Actuals'!F13&lt;='01_Assumptions'!F35,"Green",IF('02_Actuals'!F13&lt;='01_Assumptions'!F35*(1+'01_Assumptions'!$E$20),"Amber","Red")),IF(ABS('02_Actuals'!F13/'01_Assumptions'!F35-1)&lt;='01_Assumptions'!$F$20,"Green",IF(ABS('02_Actuals'!F13/'01_Assumptions'!F35-1)&lt;='01_Assumptions'!$E$20,"Amber","Red")))))</f>
        <v/>
      </c>
      <c r="G29" s="30">
        <f>IF('01_Assumptions'!G35=0,"—",IF('01_Assumptions'!$D$20="H",IF('02_Actuals'!G13&gt;='01_Assumptions'!G35,"Green",IF('02_Actuals'!G13&gt;='01_Assumptions'!G35*(1-'01_Assumptions'!$E$20),"Amber","Red")),IF('01_Assumptions'!$D$20="L",IF('02_Actuals'!G13&lt;='01_Assumptions'!G35,"Green",IF('02_Actuals'!G13&lt;='01_Assumptions'!G35*(1+'01_Assumptions'!$E$20),"Amber","Red")),IF(ABS('02_Actuals'!G13/'01_Assumptions'!G35-1)&lt;='01_Assumptions'!$F$20,"Green",IF(ABS('02_Actuals'!G13/'01_Assumptions'!G35-1)&lt;='01_Assumptions'!$E$20,"Amber","Red")))))</f>
        <v/>
      </c>
      <c r="H29" s="30">
        <f>IF('01_Assumptions'!H35=0,"—",IF('01_Assumptions'!$D$20="H",IF('02_Actuals'!H13&gt;='01_Assumptions'!H35,"Green",IF('02_Actuals'!H13&gt;='01_Assumptions'!H35*(1-'01_Assumptions'!$E$20),"Amber","Red")),IF('01_Assumptions'!$D$20="L",IF('02_Actuals'!H13&lt;='01_Assumptions'!H35,"Green",IF('02_Actuals'!H13&lt;='01_Assumptions'!H35*(1+'01_Assumptions'!$E$20),"Amber","Red")),IF(ABS('02_Actuals'!H13/'01_Assumptions'!H35-1)&lt;='01_Assumptions'!$F$20,"Green",IF(ABS('02_Actuals'!H13/'01_Assumptions'!H35-1)&lt;='01_Assumptions'!$E$20,"Amber","Red")))))</f>
        <v/>
      </c>
      <c r="I29" s="30">
        <f>IF('01_Assumptions'!I35=0,"—",IF('01_Assumptions'!$D$20="H",IF('02_Actuals'!I13&gt;='01_Assumptions'!I35,"Green",IF('02_Actuals'!I13&gt;='01_Assumptions'!I35*(1-'01_Assumptions'!$E$20),"Amber","Red")),IF('01_Assumptions'!$D$20="L",IF('02_Actuals'!I13&lt;='01_Assumptions'!I35,"Green",IF('02_Actuals'!I13&lt;='01_Assumptions'!I35*(1+'01_Assumptions'!$E$20),"Amber","Red")),IF(ABS('02_Actuals'!I13/'01_Assumptions'!I35-1)&lt;='01_Assumptions'!$F$20,"Green",IF(ABS('02_Actuals'!I13/'01_Assumptions'!I35-1)&lt;='01_Assumptions'!$E$20,"Amber","Red")))))</f>
        <v/>
      </c>
      <c r="J29" s="30">
        <f>IF('01_Assumptions'!J35=0,"—",IF('01_Assumptions'!$D$20="H",IF('02_Actuals'!J13&gt;='01_Assumptions'!J35,"Green",IF('02_Actuals'!J13&gt;='01_Assumptions'!J35*(1-'01_Assumptions'!$E$20),"Amber","Red")),IF('01_Assumptions'!$D$20="L",IF('02_Actuals'!J13&lt;='01_Assumptions'!J35,"Green",IF('02_Actuals'!J13&lt;='01_Assumptions'!J35*(1+'01_Assumptions'!$E$20),"Amber","Red")),IF(ABS('02_Actuals'!J13/'01_Assumptions'!J35-1)&lt;='01_Assumptions'!$F$20,"Green",IF(ABS('02_Actuals'!J13/'01_Assumptions'!J35-1)&lt;='01_Assumptions'!$E$20,"Amber","Red")))))</f>
        <v/>
      </c>
      <c r="K29" s="30">
        <f>IF('01_Assumptions'!K35=0,"—",IF('01_Assumptions'!$D$20="H",IF('02_Actuals'!K13&gt;='01_Assumptions'!K35,"Green",IF('02_Actuals'!K13&gt;='01_Assumptions'!K35*(1-'01_Assumptions'!$E$20),"Amber","Red")),IF('01_Assumptions'!$D$20="L",IF('02_Actuals'!K13&lt;='01_Assumptions'!K35,"Green",IF('02_Actuals'!K13&lt;='01_Assumptions'!K35*(1+'01_Assumptions'!$E$20),"Amber","Red")),IF(ABS('02_Actuals'!K13/'01_Assumptions'!K35-1)&lt;='01_Assumptions'!$F$20,"Green",IF(ABS('02_Actuals'!K13/'01_Assumptions'!K35-1)&lt;='01_Assumptions'!$E$20,"Amber","Red")))))</f>
        <v/>
      </c>
      <c r="L29" s="30">
        <f>IF('01_Assumptions'!L35=0,"—",IF('01_Assumptions'!$D$20="H",IF('02_Actuals'!L13&gt;='01_Assumptions'!L35,"Green",IF('02_Actuals'!L13&gt;='01_Assumptions'!L35*(1-'01_Assumptions'!$E$20),"Amber","Red")),IF('01_Assumptions'!$D$20="L",IF('02_Actuals'!L13&lt;='01_Assumptions'!L35,"Green",IF('02_Actuals'!L13&lt;='01_Assumptions'!L35*(1+'01_Assumptions'!$E$20),"Amber","Red")),IF(ABS('02_Actuals'!L13/'01_Assumptions'!L35-1)&lt;='01_Assumptions'!$F$20,"Green",IF(ABS('02_Actuals'!L13/'01_Assumptions'!L35-1)&lt;='01_Assumptions'!$E$20,"Amber","Red")))))</f>
        <v/>
      </c>
      <c r="M29" s="30">
        <f>IF('01_Assumptions'!M35=0,"—",IF('01_Assumptions'!$D$20="H",IF('02_Actuals'!M13&gt;='01_Assumptions'!M35,"Green",IF('02_Actuals'!M13&gt;='01_Assumptions'!M35*(1-'01_Assumptions'!$E$20),"Amber","Red")),IF('01_Assumptions'!$D$20="L",IF('02_Actuals'!M13&lt;='01_Assumptions'!M35,"Green",IF('02_Actuals'!M13&lt;='01_Assumptions'!M35*(1+'01_Assumptions'!$E$20),"Amber","Red")),IF(ABS('02_Actuals'!M13/'01_Assumptions'!M35-1)&lt;='01_Assumptions'!$F$20,"Green",IF(ABS('02_Actuals'!M13/'01_Assumptions'!M35-1)&lt;='01_Assumptions'!$E$20,"Amber","Red")))))</f>
        <v/>
      </c>
      <c r="N29" s="30">
        <f>IF('01_Assumptions'!N35=0,"—",IF('01_Assumptions'!$D$20="H",IF('02_Actuals'!N13&gt;='01_Assumptions'!N35,"Green",IF('02_Actuals'!N13&gt;='01_Assumptions'!N35*(1-'01_Assumptions'!$E$20),"Amber","Red")),IF('01_Assumptions'!$D$20="L",IF('02_Actuals'!N13&lt;='01_Assumptions'!N35,"Green",IF('02_Actuals'!N13&lt;='01_Assumptions'!N35*(1+'01_Assumptions'!$E$20),"Amber","Red")),IF(ABS('02_Actuals'!N13/'01_Assumptions'!N35-1)&lt;='01_Assumptions'!$F$20,"Green",IF(ABS('02_Actuals'!N13/'01_Assumptions'!N35-1)&lt;='01_Assumptions'!$E$20,"Amber","Red")))))</f>
        <v/>
      </c>
    </row>
    <row r="30">
      <c r="B30" s="14" t="inlineStr">
        <is>
          <t>CCC</t>
        </is>
      </c>
      <c r="C30" s="30">
        <f>IF('01_Assumptions'!C36=0,"—",IF('01_Assumptions'!$D$21="H",IF('02_Actuals'!C14&gt;='01_Assumptions'!C36,"Green",IF('02_Actuals'!C14&gt;='01_Assumptions'!C36*(1-'01_Assumptions'!$E$21),"Amber","Red")),IF('01_Assumptions'!$D$21="L",IF('02_Actuals'!C14&lt;='01_Assumptions'!C36,"Green",IF('02_Actuals'!C14&lt;='01_Assumptions'!C36*(1+'01_Assumptions'!$E$21),"Amber","Red")),IF(ABS('02_Actuals'!C14/'01_Assumptions'!C36-1)&lt;='01_Assumptions'!$F$21,"Green",IF(ABS('02_Actuals'!C14/'01_Assumptions'!C36-1)&lt;='01_Assumptions'!$E$21,"Amber","Red")))))</f>
        <v/>
      </c>
      <c r="D30" s="30">
        <f>IF('01_Assumptions'!D36=0,"—",IF('01_Assumptions'!$D$21="H",IF('02_Actuals'!D14&gt;='01_Assumptions'!D36,"Green",IF('02_Actuals'!D14&gt;='01_Assumptions'!D36*(1-'01_Assumptions'!$E$21),"Amber","Red")),IF('01_Assumptions'!$D$21="L",IF('02_Actuals'!D14&lt;='01_Assumptions'!D36,"Green",IF('02_Actuals'!D14&lt;='01_Assumptions'!D36*(1+'01_Assumptions'!$E$21),"Amber","Red")),IF(ABS('02_Actuals'!D14/'01_Assumptions'!D36-1)&lt;='01_Assumptions'!$F$21,"Green",IF(ABS('02_Actuals'!D14/'01_Assumptions'!D36-1)&lt;='01_Assumptions'!$E$21,"Amber","Red")))))</f>
        <v/>
      </c>
      <c r="E30" s="30">
        <f>IF('01_Assumptions'!E36=0,"—",IF('01_Assumptions'!$D$21="H",IF('02_Actuals'!E14&gt;='01_Assumptions'!E36,"Green",IF('02_Actuals'!E14&gt;='01_Assumptions'!E36*(1-'01_Assumptions'!$E$21),"Amber","Red")),IF('01_Assumptions'!$D$21="L",IF('02_Actuals'!E14&lt;='01_Assumptions'!E36,"Green",IF('02_Actuals'!E14&lt;='01_Assumptions'!E36*(1+'01_Assumptions'!$E$21),"Amber","Red")),IF(ABS('02_Actuals'!E14/'01_Assumptions'!E36-1)&lt;='01_Assumptions'!$F$21,"Green",IF(ABS('02_Actuals'!E14/'01_Assumptions'!E36-1)&lt;='01_Assumptions'!$E$21,"Amber","Red")))))</f>
        <v/>
      </c>
      <c r="F30" s="30">
        <f>IF('01_Assumptions'!F36=0,"—",IF('01_Assumptions'!$D$21="H",IF('02_Actuals'!F14&gt;='01_Assumptions'!F36,"Green",IF('02_Actuals'!F14&gt;='01_Assumptions'!F36*(1-'01_Assumptions'!$E$21),"Amber","Red")),IF('01_Assumptions'!$D$21="L",IF('02_Actuals'!F14&lt;='01_Assumptions'!F36,"Green",IF('02_Actuals'!F14&lt;='01_Assumptions'!F36*(1+'01_Assumptions'!$E$21),"Amber","Red")),IF(ABS('02_Actuals'!F14/'01_Assumptions'!F36-1)&lt;='01_Assumptions'!$F$21,"Green",IF(ABS('02_Actuals'!F14/'01_Assumptions'!F36-1)&lt;='01_Assumptions'!$E$21,"Amber","Red")))))</f>
        <v/>
      </c>
      <c r="G30" s="30">
        <f>IF('01_Assumptions'!G36=0,"—",IF('01_Assumptions'!$D$21="H",IF('02_Actuals'!G14&gt;='01_Assumptions'!G36,"Green",IF('02_Actuals'!G14&gt;='01_Assumptions'!G36*(1-'01_Assumptions'!$E$21),"Amber","Red")),IF('01_Assumptions'!$D$21="L",IF('02_Actuals'!G14&lt;='01_Assumptions'!G36,"Green",IF('02_Actuals'!G14&lt;='01_Assumptions'!G36*(1+'01_Assumptions'!$E$21),"Amber","Red")),IF(ABS('02_Actuals'!G14/'01_Assumptions'!G36-1)&lt;='01_Assumptions'!$F$21,"Green",IF(ABS('02_Actuals'!G14/'01_Assumptions'!G36-1)&lt;='01_Assumptions'!$E$21,"Amber","Red")))))</f>
        <v/>
      </c>
      <c r="H30" s="30">
        <f>IF('01_Assumptions'!H36=0,"—",IF('01_Assumptions'!$D$21="H",IF('02_Actuals'!H14&gt;='01_Assumptions'!H36,"Green",IF('02_Actuals'!H14&gt;='01_Assumptions'!H36*(1-'01_Assumptions'!$E$21),"Amber","Red")),IF('01_Assumptions'!$D$21="L",IF('02_Actuals'!H14&lt;='01_Assumptions'!H36,"Green",IF('02_Actuals'!H14&lt;='01_Assumptions'!H36*(1+'01_Assumptions'!$E$21),"Amber","Red")),IF(ABS('02_Actuals'!H14/'01_Assumptions'!H36-1)&lt;='01_Assumptions'!$F$21,"Green",IF(ABS('02_Actuals'!H14/'01_Assumptions'!H36-1)&lt;='01_Assumptions'!$E$21,"Amber","Red")))))</f>
        <v/>
      </c>
      <c r="I30" s="30">
        <f>IF('01_Assumptions'!I36=0,"—",IF('01_Assumptions'!$D$21="H",IF('02_Actuals'!I14&gt;='01_Assumptions'!I36,"Green",IF('02_Actuals'!I14&gt;='01_Assumptions'!I36*(1-'01_Assumptions'!$E$21),"Amber","Red")),IF('01_Assumptions'!$D$21="L",IF('02_Actuals'!I14&lt;='01_Assumptions'!I36,"Green",IF('02_Actuals'!I14&lt;='01_Assumptions'!I36*(1+'01_Assumptions'!$E$21),"Amber","Red")),IF(ABS('02_Actuals'!I14/'01_Assumptions'!I36-1)&lt;='01_Assumptions'!$F$21,"Green",IF(ABS('02_Actuals'!I14/'01_Assumptions'!I36-1)&lt;='01_Assumptions'!$E$21,"Amber","Red")))))</f>
        <v/>
      </c>
      <c r="J30" s="30">
        <f>IF('01_Assumptions'!J36=0,"—",IF('01_Assumptions'!$D$21="H",IF('02_Actuals'!J14&gt;='01_Assumptions'!J36,"Green",IF('02_Actuals'!J14&gt;='01_Assumptions'!J36*(1-'01_Assumptions'!$E$21),"Amber","Red")),IF('01_Assumptions'!$D$21="L",IF('02_Actuals'!J14&lt;='01_Assumptions'!J36,"Green",IF('02_Actuals'!J14&lt;='01_Assumptions'!J36*(1+'01_Assumptions'!$E$21),"Amber","Red")),IF(ABS('02_Actuals'!J14/'01_Assumptions'!J36-1)&lt;='01_Assumptions'!$F$21,"Green",IF(ABS('02_Actuals'!J14/'01_Assumptions'!J36-1)&lt;='01_Assumptions'!$E$21,"Amber","Red")))))</f>
        <v/>
      </c>
      <c r="K30" s="30">
        <f>IF('01_Assumptions'!K36=0,"—",IF('01_Assumptions'!$D$21="H",IF('02_Actuals'!K14&gt;='01_Assumptions'!K36,"Green",IF('02_Actuals'!K14&gt;='01_Assumptions'!K36*(1-'01_Assumptions'!$E$21),"Amber","Red")),IF('01_Assumptions'!$D$21="L",IF('02_Actuals'!K14&lt;='01_Assumptions'!K36,"Green",IF('02_Actuals'!K14&lt;='01_Assumptions'!K36*(1+'01_Assumptions'!$E$21),"Amber","Red")),IF(ABS('02_Actuals'!K14/'01_Assumptions'!K36-1)&lt;='01_Assumptions'!$F$21,"Green",IF(ABS('02_Actuals'!K14/'01_Assumptions'!K36-1)&lt;='01_Assumptions'!$E$21,"Amber","Red")))))</f>
        <v/>
      </c>
      <c r="L30" s="30">
        <f>IF('01_Assumptions'!L36=0,"—",IF('01_Assumptions'!$D$21="H",IF('02_Actuals'!L14&gt;='01_Assumptions'!L36,"Green",IF('02_Actuals'!L14&gt;='01_Assumptions'!L36*(1-'01_Assumptions'!$E$21),"Amber","Red")),IF('01_Assumptions'!$D$21="L",IF('02_Actuals'!L14&lt;='01_Assumptions'!L36,"Green",IF('02_Actuals'!L14&lt;='01_Assumptions'!L36*(1+'01_Assumptions'!$E$21),"Amber","Red")),IF(ABS('02_Actuals'!L14/'01_Assumptions'!L36-1)&lt;='01_Assumptions'!$F$21,"Green",IF(ABS('02_Actuals'!L14/'01_Assumptions'!L36-1)&lt;='01_Assumptions'!$E$21,"Amber","Red")))))</f>
        <v/>
      </c>
      <c r="M30" s="30">
        <f>IF('01_Assumptions'!M36=0,"—",IF('01_Assumptions'!$D$21="H",IF('02_Actuals'!M14&gt;='01_Assumptions'!M36,"Green",IF('02_Actuals'!M14&gt;='01_Assumptions'!M36*(1-'01_Assumptions'!$E$21),"Amber","Red")),IF('01_Assumptions'!$D$21="L",IF('02_Actuals'!M14&lt;='01_Assumptions'!M36,"Green",IF('02_Actuals'!M14&lt;='01_Assumptions'!M36*(1+'01_Assumptions'!$E$21),"Amber","Red")),IF(ABS('02_Actuals'!M14/'01_Assumptions'!M36-1)&lt;='01_Assumptions'!$F$21,"Green",IF(ABS('02_Actuals'!M14/'01_Assumptions'!M36-1)&lt;='01_Assumptions'!$E$21,"Amber","Red")))))</f>
        <v/>
      </c>
      <c r="N30" s="30">
        <f>IF('01_Assumptions'!N36=0,"—",IF('01_Assumptions'!$D$21="H",IF('02_Actuals'!N14&gt;='01_Assumptions'!N36,"Green",IF('02_Actuals'!N14&gt;='01_Assumptions'!N36*(1-'01_Assumptions'!$E$21),"Amber","Red")),IF('01_Assumptions'!$D$21="L",IF('02_Actuals'!N14&lt;='01_Assumptions'!N36,"Green",IF('02_Actuals'!N14&lt;='01_Assumptions'!N36*(1+'01_Assumptions'!$E$21),"Amber","Red")),IF(ABS('02_Actuals'!N14/'01_Assumptions'!N36-1)&lt;='01_Assumptions'!$F$21,"Green",IF(ABS('02_Actuals'!N14/'01_Assumptions'!N36-1)&lt;='01_Assumptions'!$E$21,"Amber","Red")))))</f>
        <v/>
      </c>
    </row>
    <row r="31">
      <c r="B31" s="14" t="inlineStr">
        <is>
          <t>Headcount</t>
        </is>
      </c>
      <c r="C31" s="30">
        <f>IF('01_Assumptions'!C37=0,"—",IF('01_Assumptions'!$D$22="H",IF('02_Actuals'!C15&gt;='01_Assumptions'!C37,"Green",IF('02_Actuals'!C15&gt;='01_Assumptions'!C37*(1-'01_Assumptions'!$E$22),"Amber","Red")),IF('01_Assumptions'!$D$22="L",IF('02_Actuals'!C15&lt;='01_Assumptions'!C37,"Green",IF('02_Actuals'!C15&lt;='01_Assumptions'!C37*(1+'01_Assumptions'!$E$22),"Amber","Red")),IF(ABS('02_Actuals'!C15/'01_Assumptions'!C37-1)&lt;='01_Assumptions'!$F$22,"Green",IF(ABS('02_Actuals'!C15/'01_Assumptions'!C37-1)&lt;='01_Assumptions'!$E$22,"Amber","Red")))))</f>
        <v/>
      </c>
      <c r="D31" s="30">
        <f>IF('01_Assumptions'!D37=0,"—",IF('01_Assumptions'!$D$22="H",IF('02_Actuals'!D15&gt;='01_Assumptions'!D37,"Green",IF('02_Actuals'!D15&gt;='01_Assumptions'!D37*(1-'01_Assumptions'!$E$22),"Amber","Red")),IF('01_Assumptions'!$D$22="L",IF('02_Actuals'!D15&lt;='01_Assumptions'!D37,"Green",IF('02_Actuals'!D15&lt;='01_Assumptions'!D37*(1+'01_Assumptions'!$E$22),"Amber","Red")),IF(ABS('02_Actuals'!D15/'01_Assumptions'!D37-1)&lt;='01_Assumptions'!$F$22,"Green",IF(ABS('02_Actuals'!D15/'01_Assumptions'!D37-1)&lt;='01_Assumptions'!$E$22,"Amber","Red")))))</f>
        <v/>
      </c>
      <c r="E31" s="30">
        <f>IF('01_Assumptions'!E37=0,"—",IF('01_Assumptions'!$D$22="H",IF('02_Actuals'!E15&gt;='01_Assumptions'!E37,"Green",IF('02_Actuals'!E15&gt;='01_Assumptions'!E37*(1-'01_Assumptions'!$E$22),"Amber","Red")),IF('01_Assumptions'!$D$22="L",IF('02_Actuals'!E15&lt;='01_Assumptions'!E37,"Green",IF('02_Actuals'!E15&lt;='01_Assumptions'!E37*(1+'01_Assumptions'!$E$22),"Amber","Red")),IF(ABS('02_Actuals'!E15/'01_Assumptions'!E37-1)&lt;='01_Assumptions'!$F$22,"Green",IF(ABS('02_Actuals'!E15/'01_Assumptions'!E37-1)&lt;='01_Assumptions'!$E$22,"Amber","Red")))))</f>
        <v/>
      </c>
      <c r="F31" s="30">
        <f>IF('01_Assumptions'!F37=0,"—",IF('01_Assumptions'!$D$22="H",IF('02_Actuals'!F15&gt;='01_Assumptions'!F37,"Green",IF('02_Actuals'!F15&gt;='01_Assumptions'!F37*(1-'01_Assumptions'!$E$22),"Amber","Red")),IF('01_Assumptions'!$D$22="L",IF('02_Actuals'!F15&lt;='01_Assumptions'!F37,"Green",IF('02_Actuals'!F15&lt;='01_Assumptions'!F37*(1+'01_Assumptions'!$E$22),"Amber","Red")),IF(ABS('02_Actuals'!F15/'01_Assumptions'!F37-1)&lt;='01_Assumptions'!$F$22,"Green",IF(ABS('02_Actuals'!F15/'01_Assumptions'!F37-1)&lt;='01_Assumptions'!$E$22,"Amber","Red")))))</f>
        <v/>
      </c>
      <c r="G31" s="30">
        <f>IF('01_Assumptions'!G37=0,"—",IF('01_Assumptions'!$D$22="H",IF('02_Actuals'!G15&gt;='01_Assumptions'!G37,"Green",IF('02_Actuals'!G15&gt;='01_Assumptions'!G37*(1-'01_Assumptions'!$E$22),"Amber","Red")),IF('01_Assumptions'!$D$22="L",IF('02_Actuals'!G15&lt;='01_Assumptions'!G37,"Green",IF('02_Actuals'!G15&lt;='01_Assumptions'!G37*(1+'01_Assumptions'!$E$22),"Amber","Red")),IF(ABS('02_Actuals'!G15/'01_Assumptions'!G37-1)&lt;='01_Assumptions'!$F$22,"Green",IF(ABS('02_Actuals'!G15/'01_Assumptions'!G37-1)&lt;='01_Assumptions'!$E$22,"Amber","Red")))))</f>
        <v/>
      </c>
      <c r="H31" s="30">
        <f>IF('01_Assumptions'!H37=0,"—",IF('01_Assumptions'!$D$22="H",IF('02_Actuals'!H15&gt;='01_Assumptions'!H37,"Green",IF('02_Actuals'!H15&gt;='01_Assumptions'!H37*(1-'01_Assumptions'!$E$22),"Amber","Red")),IF('01_Assumptions'!$D$22="L",IF('02_Actuals'!H15&lt;='01_Assumptions'!H37,"Green",IF('02_Actuals'!H15&lt;='01_Assumptions'!H37*(1+'01_Assumptions'!$E$22),"Amber","Red")),IF(ABS('02_Actuals'!H15/'01_Assumptions'!H37-1)&lt;='01_Assumptions'!$F$22,"Green",IF(ABS('02_Actuals'!H15/'01_Assumptions'!H37-1)&lt;='01_Assumptions'!$E$22,"Amber","Red")))))</f>
        <v/>
      </c>
      <c r="I31" s="30">
        <f>IF('01_Assumptions'!I37=0,"—",IF('01_Assumptions'!$D$22="H",IF('02_Actuals'!I15&gt;='01_Assumptions'!I37,"Green",IF('02_Actuals'!I15&gt;='01_Assumptions'!I37*(1-'01_Assumptions'!$E$22),"Amber","Red")),IF('01_Assumptions'!$D$22="L",IF('02_Actuals'!I15&lt;='01_Assumptions'!I37,"Green",IF('02_Actuals'!I15&lt;='01_Assumptions'!I37*(1+'01_Assumptions'!$E$22),"Amber","Red")),IF(ABS('02_Actuals'!I15/'01_Assumptions'!I37-1)&lt;='01_Assumptions'!$F$22,"Green",IF(ABS('02_Actuals'!I15/'01_Assumptions'!I37-1)&lt;='01_Assumptions'!$E$22,"Amber","Red")))))</f>
        <v/>
      </c>
      <c r="J31" s="30">
        <f>IF('01_Assumptions'!J37=0,"—",IF('01_Assumptions'!$D$22="H",IF('02_Actuals'!J15&gt;='01_Assumptions'!J37,"Green",IF('02_Actuals'!J15&gt;='01_Assumptions'!J37*(1-'01_Assumptions'!$E$22),"Amber","Red")),IF('01_Assumptions'!$D$22="L",IF('02_Actuals'!J15&lt;='01_Assumptions'!J37,"Green",IF('02_Actuals'!J15&lt;='01_Assumptions'!J37*(1+'01_Assumptions'!$E$22),"Amber","Red")),IF(ABS('02_Actuals'!J15/'01_Assumptions'!J37-1)&lt;='01_Assumptions'!$F$22,"Green",IF(ABS('02_Actuals'!J15/'01_Assumptions'!J37-1)&lt;='01_Assumptions'!$E$22,"Amber","Red")))))</f>
        <v/>
      </c>
      <c r="K31" s="30">
        <f>IF('01_Assumptions'!K37=0,"—",IF('01_Assumptions'!$D$22="H",IF('02_Actuals'!K15&gt;='01_Assumptions'!K37,"Green",IF('02_Actuals'!K15&gt;='01_Assumptions'!K37*(1-'01_Assumptions'!$E$22),"Amber","Red")),IF('01_Assumptions'!$D$22="L",IF('02_Actuals'!K15&lt;='01_Assumptions'!K37,"Green",IF('02_Actuals'!K15&lt;='01_Assumptions'!K37*(1+'01_Assumptions'!$E$22),"Amber","Red")),IF(ABS('02_Actuals'!K15/'01_Assumptions'!K37-1)&lt;='01_Assumptions'!$F$22,"Green",IF(ABS('02_Actuals'!K15/'01_Assumptions'!K37-1)&lt;='01_Assumptions'!$E$22,"Amber","Red")))))</f>
        <v/>
      </c>
      <c r="L31" s="30">
        <f>IF('01_Assumptions'!L37=0,"—",IF('01_Assumptions'!$D$22="H",IF('02_Actuals'!L15&gt;='01_Assumptions'!L37,"Green",IF('02_Actuals'!L15&gt;='01_Assumptions'!L37*(1-'01_Assumptions'!$E$22),"Amber","Red")),IF('01_Assumptions'!$D$22="L",IF('02_Actuals'!L15&lt;='01_Assumptions'!L37,"Green",IF('02_Actuals'!L15&lt;='01_Assumptions'!L37*(1+'01_Assumptions'!$E$22),"Amber","Red")),IF(ABS('02_Actuals'!L15/'01_Assumptions'!L37-1)&lt;='01_Assumptions'!$F$22,"Green",IF(ABS('02_Actuals'!L15/'01_Assumptions'!L37-1)&lt;='01_Assumptions'!$E$22,"Amber","Red")))))</f>
        <v/>
      </c>
      <c r="M31" s="30">
        <f>IF('01_Assumptions'!M37=0,"—",IF('01_Assumptions'!$D$22="H",IF('02_Actuals'!M15&gt;='01_Assumptions'!M37,"Green",IF('02_Actuals'!M15&gt;='01_Assumptions'!M37*(1-'01_Assumptions'!$E$22),"Amber","Red")),IF('01_Assumptions'!$D$22="L",IF('02_Actuals'!M15&lt;='01_Assumptions'!M37,"Green",IF('02_Actuals'!M15&lt;='01_Assumptions'!M37*(1+'01_Assumptions'!$E$22),"Amber","Red")),IF(ABS('02_Actuals'!M15/'01_Assumptions'!M37-1)&lt;='01_Assumptions'!$F$22,"Green",IF(ABS('02_Actuals'!M15/'01_Assumptions'!M37-1)&lt;='01_Assumptions'!$E$22,"Amber","Red")))))</f>
        <v/>
      </c>
      <c r="N31" s="30">
        <f>IF('01_Assumptions'!N37=0,"—",IF('01_Assumptions'!$D$22="H",IF('02_Actuals'!N15&gt;='01_Assumptions'!N37,"Green",IF('02_Actuals'!N15&gt;='01_Assumptions'!N37*(1-'01_Assumptions'!$E$22),"Amber","Red")),IF('01_Assumptions'!$D$22="L",IF('02_Actuals'!N15&lt;='01_Assumptions'!N37,"Green",IF('02_Actuals'!N15&lt;='01_Assumptions'!N37*(1+'01_Assumptions'!$E$22),"Amber","Red")),IF(ABS('02_Actuals'!N15/'01_Assumptions'!N37-1)&lt;='01_Assumptions'!$F$22,"Green",IF(ABS('02_Actuals'!N15/'01_Assumptions'!N37-1)&lt;='01_Assumptions'!$E$22,"Amber","Red")))))</f>
        <v/>
      </c>
    </row>
    <row r="32">
      <c r="B32" s="14" t="inlineStr">
        <is>
          <t>Attrition % (ann.)</t>
        </is>
      </c>
      <c r="C32" s="30">
        <f>IF('01_Assumptions'!C38=0,"—",IF('01_Assumptions'!$D$23="H",IF('02_Actuals'!C16&gt;='01_Assumptions'!C38,"Green",IF('02_Actuals'!C16&gt;='01_Assumptions'!C38*(1-'01_Assumptions'!$E$23),"Amber","Red")),IF('01_Assumptions'!$D$23="L",IF('02_Actuals'!C16&lt;='01_Assumptions'!C38,"Green",IF('02_Actuals'!C16&lt;='01_Assumptions'!C38*(1+'01_Assumptions'!$E$23),"Amber","Red")),IF(ABS('02_Actuals'!C16/'01_Assumptions'!C38-1)&lt;='01_Assumptions'!$F$23,"Green",IF(ABS('02_Actuals'!C16/'01_Assumptions'!C38-1)&lt;='01_Assumptions'!$E$23,"Amber","Red")))))</f>
        <v/>
      </c>
      <c r="D32" s="30">
        <f>IF('01_Assumptions'!D38=0,"—",IF('01_Assumptions'!$D$23="H",IF('02_Actuals'!D16&gt;='01_Assumptions'!D38,"Green",IF('02_Actuals'!D16&gt;='01_Assumptions'!D38*(1-'01_Assumptions'!$E$23),"Amber","Red")),IF('01_Assumptions'!$D$23="L",IF('02_Actuals'!D16&lt;='01_Assumptions'!D38,"Green",IF('02_Actuals'!D16&lt;='01_Assumptions'!D38*(1+'01_Assumptions'!$E$23),"Amber","Red")),IF(ABS('02_Actuals'!D16/'01_Assumptions'!D38-1)&lt;='01_Assumptions'!$F$23,"Green",IF(ABS('02_Actuals'!D16/'01_Assumptions'!D38-1)&lt;='01_Assumptions'!$E$23,"Amber","Red")))))</f>
        <v/>
      </c>
      <c r="E32" s="30">
        <f>IF('01_Assumptions'!E38=0,"—",IF('01_Assumptions'!$D$23="H",IF('02_Actuals'!E16&gt;='01_Assumptions'!E38,"Green",IF('02_Actuals'!E16&gt;='01_Assumptions'!E38*(1-'01_Assumptions'!$E$23),"Amber","Red")),IF('01_Assumptions'!$D$23="L",IF('02_Actuals'!E16&lt;='01_Assumptions'!E38,"Green",IF('02_Actuals'!E16&lt;='01_Assumptions'!E38*(1+'01_Assumptions'!$E$23),"Amber","Red")),IF(ABS('02_Actuals'!E16/'01_Assumptions'!E38-1)&lt;='01_Assumptions'!$F$23,"Green",IF(ABS('02_Actuals'!E16/'01_Assumptions'!E38-1)&lt;='01_Assumptions'!$E$23,"Amber","Red")))))</f>
        <v/>
      </c>
      <c r="F32" s="30">
        <f>IF('01_Assumptions'!F38=0,"—",IF('01_Assumptions'!$D$23="H",IF('02_Actuals'!F16&gt;='01_Assumptions'!F38,"Green",IF('02_Actuals'!F16&gt;='01_Assumptions'!F38*(1-'01_Assumptions'!$E$23),"Amber","Red")),IF('01_Assumptions'!$D$23="L",IF('02_Actuals'!F16&lt;='01_Assumptions'!F38,"Green",IF('02_Actuals'!F16&lt;='01_Assumptions'!F38*(1+'01_Assumptions'!$E$23),"Amber","Red")),IF(ABS('02_Actuals'!F16/'01_Assumptions'!F38-1)&lt;='01_Assumptions'!$F$23,"Green",IF(ABS('02_Actuals'!F16/'01_Assumptions'!F38-1)&lt;='01_Assumptions'!$E$23,"Amber","Red")))))</f>
        <v/>
      </c>
      <c r="G32" s="30">
        <f>IF('01_Assumptions'!G38=0,"—",IF('01_Assumptions'!$D$23="H",IF('02_Actuals'!G16&gt;='01_Assumptions'!G38,"Green",IF('02_Actuals'!G16&gt;='01_Assumptions'!G38*(1-'01_Assumptions'!$E$23),"Amber","Red")),IF('01_Assumptions'!$D$23="L",IF('02_Actuals'!G16&lt;='01_Assumptions'!G38,"Green",IF('02_Actuals'!G16&lt;='01_Assumptions'!G38*(1+'01_Assumptions'!$E$23),"Amber","Red")),IF(ABS('02_Actuals'!G16/'01_Assumptions'!G38-1)&lt;='01_Assumptions'!$F$23,"Green",IF(ABS('02_Actuals'!G16/'01_Assumptions'!G38-1)&lt;='01_Assumptions'!$E$23,"Amber","Red")))))</f>
        <v/>
      </c>
      <c r="H32" s="30">
        <f>IF('01_Assumptions'!H38=0,"—",IF('01_Assumptions'!$D$23="H",IF('02_Actuals'!H16&gt;='01_Assumptions'!H38,"Green",IF('02_Actuals'!H16&gt;='01_Assumptions'!H38*(1-'01_Assumptions'!$E$23),"Amber","Red")),IF('01_Assumptions'!$D$23="L",IF('02_Actuals'!H16&lt;='01_Assumptions'!H38,"Green",IF('02_Actuals'!H16&lt;='01_Assumptions'!H38*(1+'01_Assumptions'!$E$23),"Amber","Red")),IF(ABS('02_Actuals'!H16/'01_Assumptions'!H38-1)&lt;='01_Assumptions'!$F$23,"Green",IF(ABS('02_Actuals'!H16/'01_Assumptions'!H38-1)&lt;='01_Assumptions'!$E$23,"Amber","Red")))))</f>
        <v/>
      </c>
      <c r="I32" s="30">
        <f>IF('01_Assumptions'!I38=0,"—",IF('01_Assumptions'!$D$23="H",IF('02_Actuals'!I16&gt;='01_Assumptions'!I38,"Green",IF('02_Actuals'!I16&gt;='01_Assumptions'!I38*(1-'01_Assumptions'!$E$23),"Amber","Red")),IF('01_Assumptions'!$D$23="L",IF('02_Actuals'!I16&lt;='01_Assumptions'!I38,"Green",IF('02_Actuals'!I16&lt;='01_Assumptions'!I38*(1+'01_Assumptions'!$E$23),"Amber","Red")),IF(ABS('02_Actuals'!I16/'01_Assumptions'!I38-1)&lt;='01_Assumptions'!$F$23,"Green",IF(ABS('02_Actuals'!I16/'01_Assumptions'!I38-1)&lt;='01_Assumptions'!$E$23,"Amber","Red")))))</f>
        <v/>
      </c>
      <c r="J32" s="30">
        <f>IF('01_Assumptions'!J38=0,"—",IF('01_Assumptions'!$D$23="H",IF('02_Actuals'!J16&gt;='01_Assumptions'!J38,"Green",IF('02_Actuals'!J16&gt;='01_Assumptions'!J38*(1-'01_Assumptions'!$E$23),"Amber","Red")),IF('01_Assumptions'!$D$23="L",IF('02_Actuals'!J16&lt;='01_Assumptions'!J38,"Green",IF('02_Actuals'!J16&lt;='01_Assumptions'!J38*(1+'01_Assumptions'!$E$23),"Amber","Red")),IF(ABS('02_Actuals'!J16/'01_Assumptions'!J38-1)&lt;='01_Assumptions'!$F$23,"Green",IF(ABS('02_Actuals'!J16/'01_Assumptions'!J38-1)&lt;='01_Assumptions'!$E$23,"Amber","Red")))))</f>
        <v/>
      </c>
      <c r="K32" s="30">
        <f>IF('01_Assumptions'!K38=0,"—",IF('01_Assumptions'!$D$23="H",IF('02_Actuals'!K16&gt;='01_Assumptions'!K38,"Green",IF('02_Actuals'!K16&gt;='01_Assumptions'!K38*(1-'01_Assumptions'!$E$23),"Amber","Red")),IF('01_Assumptions'!$D$23="L",IF('02_Actuals'!K16&lt;='01_Assumptions'!K38,"Green",IF('02_Actuals'!K16&lt;='01_Assumptions'!K38*(1+'01_Assumptions'!$E$23),"Amber","Red")),IF(ABS('02_Actuals'!K16/'01_Assumptions'!K38-1)&lt;='01_Assumptions'!$F$23,"Green",IF(ABS('02_Actuals'!K16/'01_Assumptions'!K38-1)&lt;='01_Assumptions'!$E$23,"Amber","Red")))))</f>
        <v/>
      </c>
      <c r="L32" s="30">
        <f>IF('01_Assumptions'!L38=0,"—",IF('01_Assumptions'!$D$23="H",IF('02_Actuals'!L16&gt;='01_Assumptions'!L38,"Green",IF('02_Actuals'!L16&gt;='01_Assumptions'!L38*(1-'01_Assumptions'!$E$23),"Amber","Red")),IF('01_Assumptions'!$D$23="L",IF('02_Actuals'!L16&lt;='01_Assumptions'!L38,"Green",IF('02_Actuals'!L16&lt;='01_Assumptions'!L38*(1+'01_Assumptions'!$E$23),"Amber","Red")),IF(ABS('02_Actuals'!L16/'01_Assumptions'!L38-1)&lt;='01_Assumptions'!$F$23,"Green",IF(ABS('02_Actuals'!L16/'01_Assumptions'!L38-1)&lt;='01_Assumptions'!$E$23,"Amber","Red")))))</f>
        <v/>
      </c>
      <c r="M32" s="30">
        <f>IF('01_Assumptions'!M38=0,"—",IF('01_Assumptions'!$D$23="H",IF('02_Actuals'!M16&gt;='01_Assumptions'!M38,"Green",IF('02_Actuals'!M16&gt;='01_Assumptions'!M38*(1-'01_Assumptions'!$E$23),"Amber","Red")),IF('01_Assumptions'!$D$23="L",IF('02_Actuals'!M16&lt;='01_Assumptions'!M38,"Green",IF('02_Actuals'!M16&lt;='01_Assumptions'!M38*(1+'01_Assumptions'!$E$23),"Amber","Red")),IF(ABS('02_Actuals'!M16/'01_Assumptions'!M38-1)&lt;='01_Assumptions'!$F$23,"Green",IF(ABS('02_Actuals'!M16/'01_Assumptions'!M38-1)&lt;='01_Assumptions'!$E$23,"Amber","Red")))))</f>
        <v/>
      </c>
      <c r="N32" s="30">
        <f>IF('01_Assumptions'!N38=0,"—",IF('01_Assumptions'!$D$23="H",IF('02_Actuals'!N16&gt;='01_Assumptions'!N38,"Green",IF('02_Actuals'!N16&gt;='01_Assumptions'!N38*(1-'01_Assumptions'!$E$23),"Amber","Red")),IF('01_Assumptions'!$D$23="L",IF('02_Actuals'!N16&lt;='01_Assumptions'!N38,"Green",IF('02_Actuals'!N16&lt;='01_Assumptions'!N38*(1+'01_Assumptions'!$E$23),"Amber","Red")),IF(ABS('02_Actuals'!N16/'01_Assumptions'!N38-1)&lt;='01_Assumptions'!$F$23,"Green",IF(ABS('02_Actuals'!N16/'01_Assumptions'!N38-1)&lt;='01_Assumptions'!$E$23,"Amber","Red")))))</f>
        <v/>
      </c>
    </row>
    <row r="33">
      <c r="B33" s="14" t="inlineStr">
        <is>
          <t>Operating cash flow</t>
        </is>
      </c>
      <c r="C33" s="30">
        <f>IF('01_Assumptions'!C39=0,"—",IF('01_Assumptions'!$D$24="H",IF('02_Actuals'!C17&gt;='01_Assumptions'!C39,"Green",IF('02_Actuals'!C17&gt;='01_Assumptions'!C39*(1-'01_Assumptions'!$E$24),"Amber","Red")),IF('01_Assumptions'!$D$24="L",IF('02_Actuals'!C17&lt;='01_Assumptions'!C39,"Green",IF('02_Actuals'!C17&lt;='01_Assumptions'!C39*(1+'01_Assumptions'!$E$24),"Amber","Red")),IF(ABS('02_Actuals'!C17/'01_Assumptions'!C39-1)&lt;='01_Assumptions'!$F$24,"Green",IF(ABS('02_Actuals'!C17/'01_Assumptions'!C39-1)&lt;='01_Assumptions'!$E$24,"Amber","Red")))))</f>
        <v/>
      </c>
      <c r="D33" s="30">
        <f>IF('01_Assumptions'!D39=0,"—",IF('01_Assumptions'!$D$24="H",IF('02_Actuals'!D17&gt;='01_Assumptions'!D39,"Green",IF('02_Actuals'!D17&gt;='01_Assumptions'!D39*(1-'01_Assumptions'!$E$24),"Amber","Red")),IF('01_Assumptions'!$D$24="L",IF('02_Actuals'!D17&lt;='01_Assumptions'!D39,"Green",IF('02_Actuals'!D17&lt;='01_Assumptions'!D39*(1+'01_Assumptions'!$E$24),"Amber","Red")),IF(ABS('02_Actuals'!D17/'01_Assumptions'!D39-1)&lt;='01_Assumptions'!$F$24,"Green",IF(ABS('02_Actuals'!D17/'01_Assumptions'!D39-1)&lt;='01_Assumptions'!$E$24,"Amber","Red")))))</f>
        <v/>
      </c>
      <c r="E33" s="30">
        <f>IF('01_Assumptions'!E39=0,"—",IF('01_Assumptions'!$D$24="H",IF('02_Actuals'!E17&gt;='01_Assumptions'!E39,"Green",IF('02_Actuals'!E17&gt;='01_Assumptions'!E39*(1-'01_Assumptions'!$E$24),"Amber","Red")),IF('01_Assumptions'!$D$24="L",IF('02_Actuals'!E17&lt;='01_Assumptions'!E39,"Green",IF('02_Actuals'!E17&lt;='01_Assumptions'!E39*(1+'01_Assumptions'!$E$24),"Amber","Red")),IF(ABS('02_Actuals'!E17/'01_Assumptions'!E39-1)&lt;='01_Assumptions'!$F$24,"Green",IF(ABS('02_Actuals'!E17/'01_Assumptions'!E39-1)&lt;='01_Assumptions'!$E$24,"Amber","Red")))))</f>
        <v/>
      </c>
      <c r="F33" s="30">
        <f>IF('01_Assumptions'!F39=0,"—",IF('01_Assumptions'!$D$24="H",IF('02_Actuals'!F17&gt;='01_Assumptions'!F39,"Green",IF('02_Actuals'!F17&gt;='01_Assumptions'!F39*(1-'01_Assumptions'!$E$24),"Amber","Red")),IF('01_Assumptions'!$D$24="L",IF('02_Actuals'!F17&lt;='01_Assumptions'!F39,"Green",IF('02_Actuals'!F17&lt;='01_Assumptions'!F39*(1+'01_Assumptions'!$E$24),"Amber","Red")),IF(ABS('02_Actuals'!F17/'01_Assumptions'!F39-1)&lt;='01_Assumptions'!$F$24,"Green",IF(ABS('02_Actuals'!F17/'01_Assumptions'!F39-1)&lt;='01_Assumptions'!$E$24,"Amber","Red")))))</f>
        <v/>
      </c>
      <c r="G33" s="30">
        <f>IF('01_Assumptions'!G39=0,"—",IF('01_Assumptions'!$D$24="H",IF('02_Actuals'!G17&gt;='01_Assumptions'!G39,"Green",IF('02_Actuals'!G17&gt;='01_Assumptions'!G39*(1-'01_Assumptions'!$E$24),"Amber","Red")),IF('01_Assumptions'!$D$24="L",IF('02_Actuals'!G17&lt;='01_Assumptions'!G39,"Green",IF('02_Actuals'!G17&lt;='01_Assumptions'!G39*(1+'01_Assumptions'!$E$24),"Amber","Red")),IF(ABS('02_Actuals'!G17/'01_Assumptions'!G39-1)&lt;='01_Assumptions'!$F$24,"Green",IF(ABS('02_Actuals'!G17/'01_Assumptions'!G39-1)&lt;='01_Assumptions'!$E$24,"Amber","Red")))))</f>
        <v/>
      </c>
      <c r="H33" s="30">
        <f>IF('01_Assumptions'!H39=0,"—",IF('01_Assumptions'!$D$24="H",IF('02_Actuals'!H17&gt;='01_Assumptions'!H39,"Green",IF('02_Actuals'!H17&gt;='01_Assumptions'!H39*(1-'01_Assumptions'!$E$24),"Amber","Red")),IF('01_Assumptions'!$D$24="L",IF('02_Actuals'!H17&lt;='01_Assumptions'!H39,"Green",IF('02_Actuals'!H17&lt;='01_Assumptions'!H39*(1+'01_Assumptions'!$E$24),"Amber","Red")),IF(ABS('02_Actuals'!H17/'01_Assumptions'!H39-1)&lt;='01_Assumptions'!$F$24,"Green",IF(ABS('02_Actuals'!H17/'01_Assumptions'!H39-1)&lt;='01_Assumptions'!$E$24,"Amber","Red")))))</f>
        <v/>
      </c>
      <c r="I33" s="30">
        <f>IF('01_Assumptions'!I39=0,"—",IF('01_Assumptions'!$D$24="H",IF('02_Actuals'!I17&gt;='01_Assumptions'!I39,"Green",IF('02_Actuals'!I17&gt;='01_Assumptions'!I39*(1-'01_Assumptions'!$E$24),"Amber","Red")),IF('01_Assumptions'!$D$24="L",IF('02_Actuals'!I17&lt;='01_Assumptions'!I39,"Green",IF('02_Actuals'!I17&lt;='01_Assumptions'!I39*(1+'01_Assumptions'!$E$24),"Amber","Red")),IF(ABS('02_Actuals'!I17/'01_Assumptions'!I39-1)&lt;='01_Assumptions'!$F$24,"Green",IF(ABS('02_Actuals'!I17/'01_Assumptions'!I39-1)&lt;='01_Assumptions'!$E$24,"Amber","Red")))))</f>
        <v/>
      </c>
      <c r="J33" s="30">
        <f>IF('01_Assumptions'!J39=0,"—",IF('01_Assumptions'!$D$24="H",IF('02_Actuals'!J17&gt;='01_Assumptions'!J39,"Green",IF('02_Actuals'!J17&gt;='01_Assumptions'!J39*(1-'01_Assumptions'!$E$24),"Amber","Red")),IF('01_Assumptions'!$D$24="L",IF('02_Actuals'!J17&lt;='01_Assumptions'!J39,"Green",IF('02_Actuals'!J17&lt;='01_Assumptions'!J39*(1+'01_Assumptions'!$E$24),"Amber","Red")),IF(ABS('02_Actuals'!J17/'01_Assumptions'!J39-1)&lt;='01_Assumptions'!$F$24,"Green",IF(ABS('02_Actuals'!J17/'01_Assumptions'!J39-1)&lt;='01_Assumptions'!$E$24,"Amber","Red")))))</f>
        <v/>
      </c>
      <c r="K33" s="30">
        <f>IF('01_Assumptions'!K39=0,"—",IF('01_Assumptions'!$D$24="H",IF('02_Actuals'!K17&gt;='01_Assumptions'!K39,"Green",IF('02_Actuals'!K17&gt;='01_Assumptions'!K39*(1-'01_Assumptions'!$E$24),"Amber","Red")),IF('01_Assumptions'!$D$24="L",IF('02_Actuals'!K17&lt;='01_Assumptions'!K39,"Green",IF('02_Actuals'!K17&lt;='01_Assumptions'!K39*(1+'01_Assumptions'!$E$24),"Amber","Red")),IF(ABS('02_Actuals'!K17/'01_Assumptions'!K39-1)&lt;='01_Assumptions'!$F$24,"Green",IF(ABS('02_Actuals'!K17/'01_Assumptions'!K39-1)&lt;='01_Assumptions'!$E$24,"Amber","Red")))))</f>
        <v/>
      </c>
      <c r="L33" s="30">
        <f>IF('01_Assumptions'!L39=0,"—",IF('01_Assumptions'!$D$24="H",IF('02_Actuals'!L17&gt;='01_Assumptions'!L39,"Green",IF('02_Actuals'!L17&gt;='01_Assumptions'!L39*(1-'01_Assumptions'!$E$24),"Amber","Red")),IF('01_Assumptions'!$D$24="L",IF('02_Actuals'!L17&lt;='01_Assumptions'!L39,"Green",IF('02_Actuals'!L17&lt;='01_Assumptions'!L39*(1+'01_Assumptions'!$E$24),"Amber","Red")),IF(ABS('02_Actuals'!L17/'01_Assumptions'!L39-1)&lt;='01_Assumptions'!$F$24,"Green",IF(ABS('02_Actuals'!L17/'01_Assumptions'!L39-1)&lt;='01_Assumptions'!$E$24,"Amber","Red")))))</f>
        <v/>
      </c>
      <c r="M33" s="30">
        <f>IF('01_Assumptions'!M39=0,"—",IF('01_Assumptions'!$D$24="H",IF('02_Actuals'!M17&gt;='01_Assumptions'!M39,"Green",IF('02_Actuals'!M17&gt;='01_Assumptions'!M39*(1-'01_Assumptions'!$E$24),"Amber","Red")),IF('01_Assumptions'!$D$24="L",IF('02_Actuals'!M17&lt;='01_Assumptions'!M39,"Green",IF('02_Actuals'!M17&lt;='01_Assumptions'!M39*(1+'01_Assumptions'!$E$24),"Amber","Red")),IF(ABS('02_Actuals'!M17/'01_Assumptions'!M39-1)&lt;='01_Assumptions'!$F$24,"Green",IF(ABS('02_Actuals'!M17/'01_Assumptions'!M39-1)&lt;='01_Assumptions'!$E$24,"Amber","Red")))))</f>
        <v/>
      </c>
      <c r="N33" s="30">
        <f>IF('01_Assumptions'!N39=0,"—",IF('01_Assumptions'!$D$24="H",IF('02_Actuals'!N17&gt;='01_Assumptions'!N39,"Green",IF('02_Actuals'!N17&gt;='01_Assumptions'!N39*(1-'01_Assumptions'!$E$24),"Amber","Red")),IF('01_Assumptions'!$D$24="L",IF('02_Actuals'!N17&lt;='01_Assumptions'!N39,"Green",IF('02_Actuals'!N17&lt;='01_Assumptions'!N39*(1+'01_Assumptions'!$E$24),"Amber","Red")),IF(ABS('02_Actuals'!N17/'01_Assumptions'!N39-1)&lt;='01_Assumptions'!$F$24,"Green",IF(ABS('02_Actuals'!N17/'01_Assumptions'!N39-1)&lt;='01_Assumptions'!$E$24,"Amber","Red")))))</f>
        <v/>
      </c>
    </row>
    <row r="34">
      <c r="B34" s="14" t="inlineStr">
        <is>
          <t>SG&amp;A % of sales</t>
        </is>
      </c>
      <c r="C34" s="30">
        <f>IF('01_Assumptions'!C40=0,"—",IF('01_Assumptions'!$D$25="H",IF('02_Actuals'!C18&gt;='01_Assumptions'!C40,"Green",IF('02_Actuals'!C18&gt;='01_Assumptions'!C40*(1-'01_Assumptions'!$E$25),"Amber","Red")),IF('01_Assumptions'!$D$25="L",IF('02_Actuals'!C18&lt;='01_Assumptions'!C40,"Green",IF('02_Actuals'!C18&lt;='01_Assumptions'!C40*(1+'01_Assumptions'!$E$25),"Amber","Red")),IF(ABS('02_Actuals'!C18/'01_Assumptions'!C40-1)&lt;='01_Assumptions'!$F$25,"Green",IF(ABS('02_Actuals'!C18/'01_Assumptions'!C40-1)&lt;='01_Assumptions'!$E$25,"Amber","Red")))))</f>
        <v/>
      </c>
      <c r="D34" s="30">
        <f>IF('01_Assumptions'!D40=0,"—",IF('01_Assumptions'!$D$25="H",IF('02_Actuals'!D18&gt;='01_Assumptions'!D40,"Green",IF('02_Actuals'!D18&gt;='01_Assumptions'!D40*(1-'01_Assumptions'!$E$25),"Amber","Red")),IF('01_Assumptions'!$D$25="L",IF('02_Actuals'!D18&lt;='01_Assumptions'!D40,"Green",IF('02_Actuals'!D18&lt;='01_Assumptions'!D40*(1+'01_Assumptions'!$E$25),"Amber","Red")),IF(ABS('02_Actuals'!D18/'01_Assumptions'!D40-1)&lt;='01_Assumptions'!$F$25,"Green",IF(ABS('02_Actuals'!D18/'01_Assumptions'!D40-1)&lt;='01_Assumptions'!$E$25,"Amber","Red")))))</f>
        <v/>
      </c>
      <c r="E34" s="30">
        <f>IF('01_Assumptions'!E40=0,"—",IF('01_Assumptions'!$D$25="H",IF('02_Actuals'!E18&gt;='01_Assumptions'!E40,"Green",IF('02_Actuals'!E18&gt;='01_Assumptions'!E40*(1-'01_Assumptions'!$E$25),"Amber","Red")),IF('01_Assumptions'!$D$25="L",IF('02_Actuals'!E18&lt;='01_Assumptions'!E40,"Green",IF('02_Actuals'!E18&lt;='01_Assumptions'!E40*(1+'01_Assumptions'!$E$25),"Amber","Red")),IF(ABS('02_Actuals'!E18/'01_Assumptions'!E40-1)&lt;='01_Assumptions'!$F$25,"Green",IF(ABS('02_Actuals'!E18/'01_Assumptions'!E40-1)&lt;='01_Assumptions'!$E$25,"Amber","Red")))))</f>
        <v/>
      </c>
      <c r="F34" s="30">
        <f>IF('01_Assumptions'!F40=0,"—",IF('01_Assumptions'!$D$25="H",IF('02_Actuals'!F18&gt;='01_Assumptions'!F40,"Green",IF('02_Actuals'!F18&gt;='01_Assumptions'!F40*(1-'01_Assumptions'!$E$25),"Amber","Red")),IF('01_Assumptions'!$D$25="L",IF('02_Actuals'!F18&lt;='01_Assumptions'!F40,"Green",IF('02_Actuals'!F18&lt;='01_Assumptions'!F40*(1+'01_Assumptions'!$E$25),"Amber","Red")),IF(ABS('02_Actuals'!F18/'01_Assumptions'!F40-1)&lt;='01_Assumptions'!$F$25,"Green",IF(ABS('02_Actuals'!F18/'01_Assumptions'!F40-1)&lt;='01_Assumptions'!$E$25,"Amber","Red")))))</f>
        <v/>
      </c>
      <c r="G34" s="30">
        <f>IF('01_Assumptions'!G40=0,"—",IF('01_Assumptions'!$D$25="H",IF('02_Actuals'!G18&gt;='01_Assumptions'!G40,"Green",IF('02_Actuals'!G18&gt;='01_Assumptions'!G40*(1-'01_Assumptions'!$E$25),"Amber","Red")),IF('01_Assumptions'!$D$25="L",IF('02_Actuals'!G18&lt;='01_Assumptions'!G40,"Green",IF('02_Actuals'!G18&lt;='01_Assumptions'!G40*(1+'01_Assumptions'!$E$25),"Amber","Red")),IF(ABS('02_Actuals'!G18/'01_Assumptions'!G40-1)&lt;='01_Assumptions'!$F$25,"Green",IF(ABS('02_Actuals'!G18/'01_Assumptions'!G40-1)&lt;='01_Assumptions'!$E$25,"Amber","Red")))))</f>
        <v/>
      </c>
      <c r="H34" s="30">
        <f>IF('01_Assumptions'!H40=0,"—",IF('01_Assumptions'!$D$25="H",IF('02_Actuals'!H18&gt;='01_Assumptions'!H40,"Green",IF('02_Actuals'!H18&gt;='01_Assumptions'!H40*(1-'01_Assumptions'!$E$25),"Amber","Red")),IF('01_Assumptions'!$D$25="L",IF('02_Actuals'!H18&lt;='01_Assumptions'!H40,"Green",IF('02_Actuals'!H18&lt;='01_Assumptions'!H40*(1+'01_Assumptions'!$E$25),"Amber","Red")),IF(ABS('02_Actuals'!H18/'01_Assumptions'!H40-1)&lt;='01_Assumptions'!$F$25,"Green",IF(ABS('02_Actuals'!H18/'01_Assumptions'!H40-1)&lt;='01_Assumptions'!$E$25,"Amber","Red")))))</f>
        <v/>
      </c>
      <c r="I34" s="30">
        <f>IF('01_Assumptions'!I40=0,"—",IF('01_Assumptions'!$D$25="H",IF('02_Actuals'!I18&gt;='01_Assumptions'!I40,"Green",IF('02_Actuals'!I18&gt;='01_Assumptions'!I40*(1-'01_Assumptions'!$E$25),"Amber","Red")),IF('01_Assumptions'!$D$25="L",IF('02_Actuals'!I18&lt;='01_Assumptions'!I40,"Green",IF('02_Actuals'!I18&lt;='01_Assumptions'!I40*(1+'01_Assumptions'!$E$25),"Amber","Red")),IF(ABS('02_Actuals'!I18/'01_Assumptions'!I40-1)&lt;='01_Assumptions'!$F$25,"Green",IF(ABS('02_Actuals'!I18/'01_Assumptions'!I40-1)&lt;='01_Assumptions'!$E$25,"Amber","Red")))))</f>
        <v/>
      </c>
      <c r="J34" s="30">
        <f>IF('01_Assumptions'!J40=0,"—",IF('01_Assumptions'!$D$25="H",IF('02_Actuals'!J18&gt;='01_Assumptions'!J40,"Green",IF('02_Actuals'!J18&gt;='01_Assumptions'!J40*(1-'01_Assumptions'!$E$25),"Amber","Red")),IF('01_Assumptions'!$D$25="L",IF('02_Actuals'!J18&lt;='01_Assumptions'!J40,"Green",IF('02_Actuals'!J18&lt;='01_Assumptions'!J40*(1+'01_Assumptions'!$E$25),"Amber","Red")),IF(ABS('02_Actuals'!J18/'01_Assumptions'!J40-1)&lt;='01_Assumptions'!$F$25,"Green",IF(ABS('02_Actuals'!J18/'01_Assumptions'!J40-1)&lt;='01_Assumptions'!$E$25,"Amber","Red")))))</f>
        <v/>
      </c>
      <c r="K34" s="30">
        <f>IF('01_Assumptions'!K40=0,"—",IF('01_Assumptions'!$D$25="H",IF('02_Actuals'!K18&gt;='01_Assumptions'!K40,"Green",IF('02_Actuals'!K18&gt;='01_Assumptions'!K40*(1-'01_Assumptions'!$E$25),"Amber","Red")),IF('01_Assumptions'!$D$25="L",IF('02_Actuals'!K18&lt;='01_Assumptions'!K40,"Green",IF('02_Actuals'!K18&lt;='01_Assumptions'!K40*(1+'01_Assumptions'!$E$25),"Amber","Red")),IF(ABS('02_Actuals'!K18/'01_Assumptions'!K40-1)&lt;='01_Assumptions'!$F$25,"Green",IF(ABS('02_Actuals'!K18/'01_Assumptions'!K40-1)&lt;='01_Assumptions'!$E$25,"Amber","Red")))))</f>
        <v/>
      </c>
      <c r="L34" s="30">
        <f>IF('01_Assumptions'!L40=0,"—",IF('01_Assumptions'!$D$25="H",IF('02_Actuals'!L18&gt;='01_Assumptions'!L40,"Green",IF('02_Actuals'!L18&gt;='01_Assumptions'!L40*(1-'01_Assumptions'!$E$25),"Amber","Red")),IF('01_Assumptions'!$D$25="L",IF('02_Actuals'!L18&lt;='01_Assumptions'!L40,"Green",IF('02_Actuals'!L18&lt;='01_Assumptions'!L40*(1+'01_Assumptions'!$E$25),"Amber","Red")),IF(ABS('02_Actuals'!L18/'01_Assumptions'!L40-1)&lt;='01_Assumptions'!$F$25,"Green",IF(ABS('02_Actuals'!L18/'01_Assumptions'!L40-1)&lt;='01_Assumptions'!$E$25,"Amber","Red")))))</f>
        <v/>
      </c>
      <c r="M34" s="30">
        <f>IF('01_Assumptions'!M40=0,"—",IF('01_Assumptions'!$D$25="H",IF('02_Actuals'!M18&gt;='01_Assumptions'!M40,"Green",IF('02_Actuals'!M18&gt;='01_Assumptions'!M40*(1-'01_Assumptions'!$E$25),"Amber","Red")),IF('01_Assumptions'!$D$25="L",IF('02_Actuals'!M18&lt;='01_Assumptions'!M40,"Green",IF('02_Actuals'!M18&lt;='01_Assumptions'!M40*(1+'01_Assumptions'!$E$25),"Amber","Red")),IF(ABS('02_Actuals'!M18/'01_Assumptions'!M40-1)&lt;='01_Assumptions'!$F$25,"Green",IF(ABS('02_Actuals'!M18/'01_Assumptions'!M40-1)&lt;='01_Assumptions'!$E$25,"Amber","Red")))))</f>
        <v/>
      </c>
      <c r="N34" s="30">
        <f>IF('01_Assumptions'!N40=0,"—",IF('01_Assumptions'!$D$25="H",IF('02_Actuals'!N18&gt;='01_Assumptions'!N40,"Green",IF('02_Actuals'!N18&gt;='01_Assumptions'!N40*(1-'01_Assumptions'!$E$25),"Amber","Red")),IF('01_Assumptions'!$D$25="L",IF('02_Actuals'!N18&lt;='01_Assumptions'!N40,"Green",IF('02_Actuals'!N18&lt;='01_Assumptions'!N40*(1+'01_Assumptions'!$E$25),"Amber","Red")),IF(ABS('02_Actuals'!N18/'01_Assumptions'!N40-1)&lt;='01_Assumptions'!$F$25,"Green",IF(ABS('02_Actuals'!N18/'01_Assumptions'!N40-1)&lt;='01_Assumptions'!$E$25,"Amber","Red")))))</f>
        <v/>
      </c>
    </row>
    <row r="36">
      <c r="B36" s="11" t="inlineStr">
        <is>
          <t>Monthly variance %  (actual / target − 1)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</row>
    <row r="37">
      <c r="C37" s="13" t="inlineStr">
        <is>
          <t>Jan-26</t>
        </is>
      </c>
      <c r="D37" s="13" t="inlineStr">
        <is>
          <t>Feb-26</t>
        </is>
      </c>
      <c r="E37" s="13" t="inlineStr">
        <is>
          <t>Mar-26</t>
        </is>
      </c>
      <c r="F37" s="13" t="inlineStr">
        <is>
          <t>Apr-26</t>
        </is>
      </c>
      <c r="G37" s="13" t="inlineStr">
        <is>
          <t>May-26</t>
        </is>
      </c>
      <c r="H37" s="13" t="inlineStr">
        <is>
          <t>Jun-26</t>
        </is>
      </c>
      <c r="I37" s="13" t="inlineStr">
        <is>
          <t>Jul-26</t>
        </is>
      </c>
      <c r="J37" s="13" t="inlineStr">
        <is>
          <t>Aug-26</t>
        </is>
      </c>
      <c r="K37" s="13" t="inlineStr">
        <is>
          <t>Sep-26</t>
        </is>
      </c>
      <c r="L37" s="13" t="inlineStr">
        <is>
          <t>Oct-26</t>
        </is>
      </c>
      <c r="M37" s="13" t="inlineStr">
        <is>
          <t>Nov-26</t>
        </is>
      </c>
      <c r="N37" s="13" t="inlineStr">
        <is>
          <t>Dec-26</t>
        </is>
      </c>
    </row>
    <row r="38">
      <c r="B38" s="15" t="inlineStr">
        <is>
          <t>Net revenue</t>
        </is>
      </c>
      <c r="C38" s="27">
        <f>IF('01_Assumptions'!C29=0,"—",'02_Actuals'!C7/'01_Assumptions'!C29-1)</f>
        <v/>
      </c>
      <c r="D38" s="27">
        <f>IF('01_Assumptions'!D29=0,"—",'02_Actuals'!D7/'01_Assumptions'!D29-1)</f>
        <v/>
      </c>
      <c r="E38" s="27">
        <f>IF('01_Assumptions'!E29=0,"—",'02_Actuals'!E7/'01_Assumptions'!E29-1)</f>
        <v/>
      </c>
      <c r="F38" s="27">
        <f>IF('01_Assumptions'!F29=0,"—",'02_Actuals'!F7/'01_Assumptions'!F29-1)</f>
        <v/>
      </c>
      <c r="G38" s="27">
        <f>IF('01_Assumptions'!G29=0,"—",'02_Actuals'!G7/'01_Assumptions'!G29-1)</f>
        <v/>
      </c>
      <c r="H38" s="27">
        <f>IF('01_Assumptions'!H29=0,"—",'02_Actuals'!H7/'01_Assumptions'!H29-1)</f>
        <v/>
      </c>
      <c r="I38" s="27">
        <f>IF('01_Assumptions'!I29=0,"—",'02_Actuals'!I7/'01_Assumptions'!I29-1)</f>
        <v/>
      </c>
      <c r="J38" s="27">
        <f>IF('01_Assumptions'!J29=0,"—",'02_Actuals'!J7/'01_Assumptions'!J29-1)</f>
        <v/>
      </c>
      <c r="K38" s="27">
        <f>IF('01_Assumptions'!K29=0,"—",'02_Actuals'!K7/'01_Assumptions'!K29-1)</f>
        <v/>
      </c>
      <c r="L38" s="27">
        <f>IF('01_Assumptions'!L29=0,"—",'02_Actuals'!L7/'01_Assumptions'!L29-1)</f>
        <v/>
      </c>
      <c r="M38" s="27">
        <f>IF('01_Assumptions'!M29=0,"—",'02_Actuals'!M7/'01_Assumptions'!M29-1)</f>
        <v/>
      </c>
      <c r="N38" s="27">
        <f>IF('01_Assumptions'!N29=0,"—",'02_Actuals'!N7/'01_Assumptions'!N29-1)</f>
        <v/>
      </c>
    </row>
    <row r="39">
      <c r="B39" s="15" t="inlineStr">
        <is>
          <t>Gross margin %</t>
        </is>
      </c>
      <c r="C39" s="27">
        <f>IF('01_Assumptions'!C30=0,"—",'02_Actuals'!C8/'01_Assumptions'!C30-1)</f>
        <v/>
      </c>
      <c r="D39" s="27">
        <f>IF('01_Assumptions'!D30=0,"—",'02_Actuals'!D8/'01_Assumptions'!D30-1)</f>
        <v/>
      </c>
      <c r="E39" s="27">
        <f>IF('01_Assumptions'!E30=0,"—",'02_Actuals'!E8/'01_Assumptions'!E30-1)</f>
        <v/>
      </c>
      <c r="F39" s="27">
        <f>IF('01_Assumptions'!F30=0,"—",'02_Actuals'!F8/'01_Assumptions'!F30-1)</f>
        <v/>
      </c>
      <c r="G39" s="27">
        <f>IF('01_Assumptions'!G30=0,"—",'02_Actuals'!G8/'01_Assumptions'!G30-1)</f>
        <v/>
      </c>
      <c r="H39" s="27">
        <f>IF('01_Assumptions'!H30=0,"—",'02_Actuals'!H8/'01_Assumptions'!H30-1)</f>
        <v/>
      </c>
      <c r="I39" s="27">
        <f>IF('01_Assumptions'!I30=0,"—",'02_Actuals'!I8/'01_Assumptions'!I30-1)</f>
        <v/>
      </c>
      <c r="J39" s="27">
        <f>IF('01_Assumptions'!J30=0,"—",'02_Actuals'!J8/'01_Assumptions'!J30-1)</f>
        <v/>
      </c>
      <c r="K39" s="27">
        <f>IF('01_Assumptions'!K30=0,"—",'02_Actuals'!K8/'01_Assumptions'!K30-1)</f>
        <v/>
      </c>
      <c r="L39" s="27">
        <f>IF('01_Assumptions'!L30=0,"—",'02_Actuals'!L8/'01_Assumptions'!L30-1)</f>
        <v/>
      </c>
      <c r="M39" s="27">
        <f>IF('01_Assumptions'!M30=0,"—",'02_Actuals'!M8/'01_Assumptions'!M30-1)</f>
        <v/>
      </c>
      <c r="N39" s="27">
        <f>IF('01_Assumptions'!N30=0,"—",'02_Actuals'!N8/'01_Assumptions'!N30-1)</f>
        <v/>
      </c>
    </row>
    <row r="40">
      <c r="B40" s="15" t="inlineStr">
        <is>
          <t>EBITDA</t>
        </is>
      </c>
      <c r="C40" s="27">
        <f>IF('01_Assumptions'!C31=0,"—",'02_Actuals'!C9/'01_Assumptions'!C31-1)</f>
        <v/>
      </c>
      <c r="D40" s="27">
        <f>IF('01_Assumptions'!D31=0,"—",'02_Actuals'!D9/'01_Assumptions'!D31-1)</f>
        <v/>
      </c>
      <c r="E40" s="27">
        <f>IF('01_Assumptions'!E31=0,"—",'02_Actuals'!E9/'01_Assumptions'!E31-1)</f>
        <v/>
      </c>
      <c r="F40" s="27">
        <f>IF('01_Assumptions'!F31=0,"—",'02_Actuals'!F9/'01_Assumptions'!F31-1)</f>
        <v/>
      </c>
      <c r="G40" s="27">
        <f>IF('01_Assumptions'!G31=0,"—",'02_Actuals'!G9/'01_Assumptions'!G31-1)</f>
        <v/>
      </c>
      <c r="H40" s="27">
        <f>IF('01_Assumptions'!H31=0,"—",'02_Actuals'!H9/'01_Assumptions'!H31-1)</f>
        <v/>
      </c>
      <c r="I40" s="27">
        <f>IF('01_Assumptions'!I31=0,"—",'02_Actuals'!I9/'01_Assumptions'!I31-1)</f>
        <v/>
      </c>
      <c r="J40" s="27">
        <f>IF('01_Assumptions'!J31=0,"—",'02_Actuals'!J9/'01_Assumptions'!J31-1)</f>
        <v/>
      </c>
      <c r="K40" s="27">
        <f>IF('01_Assumptions'!K31=0,"—",'02_Actuals'!K9/'01_Assumptions'!K31-1)</f>
        <v/>
      </c>
      <c r="L40" s="27">
        <f>IF('01_Assumptions'!L31=0,"—",'02_Actuals'!L9/'01_Assumptions'!L31-1)</f>
        <v/>
      </c>
      <c r="M40" s="27">
        <f>IF('01_Assumptions'!M31=0,"—",'02_Actuals'!M9/'01_Assumptions'!M31-1)</f>
        <v/>
      </c>
      <c r="N40" s="27">
        <f>IF('01_Assumptions'!N31=0,"—",'02_Actuals'!N9/'01_Assumptions'!N31-1)</f>
        <v/>
      </c>
    </row>
    <row r="41">
      <c r="B41" s="15" t="inlineStr">
        <is>
          <t>Volume</t>
        </is>
      </c>
      <c r="C41" s="27">
        <f>IF('01_Assumptions'!C32=0,"—",'02_Actuals'!C10/'01_Assumptions'!C32-1)</f>
        <v/>
      </c>
      <c r="D41" s="27">
        <f>IF('01_Assumptions'!D32=0,"—",'02_Actuals'!D10/'01_Assumptions'!D32-1)</f>
        <v/>
      </c>
      <c r="E41" s="27">
        <f>IF('01_Assumptions'!E32=0,"—",'02_Actuals'!E10/'01_Assumptions'!E32-1)</f>
        <v/>
      </c>
      <c r="F41" s="27">
        <f>IF('01_Assumptions'!F32=0,"—",'02_Actuals'!F10/'01_Assumptions'!F32-1)</f>
        <v/>
      </c>
      <c r="G41" s="27">
        <f>IF('01_Assumptions'!G32=0,"—",'02_Actuals'!G10/'01_Assumptions'!G32-1)</f>
        <v/>
      </c>
      <c r="H41" s="27">
        <f>IF('01_Assumptions'!H32=0,"—",'02_Actuals'!H10/'01_Assumptions'!H32-1)</f>
        <v/>
      </c>
      <c r="I41" s="27">
        <f>IF('01_Assumptions'!I32=0,"—",'02_Actuals'!I10/'01_Assumptions'!I32-1)</f>
        <v/>
      </c>
      <c r="J41" s="27">
        <f>IF('01_Assumptions'!J32=0,"—",'02_Actuals'!J10/'01_Assumptions'!J32-1)</f>
        <v/>
      </c>
      <c r="K41" s="27">
        <f>IF('01_Assumptions'!K32=0,"—",'02_Actuals'!K10/'01_Assumptions'!K32-1)</f>
        <v/>
      </c>
      <c r="L41" s="27">
        <f>IF('01_Assumptions'!L32=0,"—",'02_Actuals'!L10/'01_Assumptions'!L32-1)</f>
        <v/>
      </c>
      <c r="M41" s="27">
        <f>IF('01_Assumptions'!M32=0,"—",'02_Actuals'!M10/'01_Assumptions'!M32-1)</f>
        <v/>
      </c>
      <c r="N41" s="27">
        <f>IF('01_Assumptions'!N32=0,"—",'02_Actuals'!N10/'01_Assumptions'!N32-1)</f>
        <v/>
      </c>
    </row>
    <row r="42">
      <c r="B42" s="15" t="inlineStr">
        <is>
          <t>OTIF %</t>
        </is>
      </c>
      <c r="C42" s="27">
        <f>IF('01_Assumptions'!C33=0,"—",'02_Actuals'!C11/'01_Assumptions'!C33-1)</f>
        <v/>
      </c>
      <c r="D42" s="27">
        <f>IF('01_Assumptions'!D33=0,"—",'02_Actuals'!D11/'01_Assumptions'!D33-1)</f>
        <v/>
      </c>
      <c r="E42" s="27">
        <f>IF('01_Assumptions'!E33=0,"—",'02_Actuals'!E11/'01_Assumptions'!E33-1)</f>
        <v/>
      </c>
      <c r="F42" s="27">
        <f>IF('01_Assumptions'!F33=0,"—",'02_Actuals'!F11/'01_Assumptions'!F33-1)</f>
        <v/>
      </c>
      <c r="G42" s="27">
        <f>IF('01_Assumptions'!G33=0,"—",'02_Actuals'!G11/'01_Assumptions'!G33-1)</f>
        <v/>
      </c>
      <c r="H42" s="27">
        <f>IF('01_Assumptions'!H33=0,"—",'02_Actuals'!H11/'01_Assumptions'!H33-1)</f>
        <v/>
      </c>
      <c r="I42" s="27">
        <f>IF('01_Assumptions'!I33=0,"—",'02_Actuals'!I11/'01_Assumptions'!I33-1)</f>
        <v/>
      </c>
      <c r="J42" s="27">
        <f>IF('01_Assumptions'!J33=0,"—",'02_Actuals'!J11/'01_Assumptions'!J33-1)</f>
        <v/>
      </c>
      <c r="K42" s="27">
        <f>IF('01_Assumptions'!K33=0,"—",'02_Actuals'!K11/'01_Assumptions'!K33-1)</f>
        <v/>
      </c>
      <c r="L42" s="27">
        <f>IF('01_Assumptions'!L33=0,"—",'02_Actuals'!L11/'01_Assumptions'!L33-1)</f>
        <v/>
      </c>
      <c r="M42" s="27">
        <f>IF('01_Assumptions'!M33=0,"—",'02_Actuals'!M11/'01_Assumptions'!M33-1)</f>
        <v/>
      </c>
      <c r="N42" s="27">
        <f>IF('01_Assumptions'!N33=0,"—",'02_Actuals'!N11/'01_Assumptions'!N33-1)</f>
        <v/>
      </c>
    </row>
    <row r="43">
      <c r="B43" s="15" t="inlineStr">
        <is>
          <t>Scrap %</t>
        </is>
      </c>
      <c r="C43" s="27">
        <f>IF('01_Assumptions'!C34=0,"—",'02_Actuals'!C12/'01_Assumptions'!C34-1)</f>
        <v/>
      </c>
      <c r="D43" s="27">
        <f>IF('01_Assumptions'!D34=0,"—",'02_Actuals'!D12/'01_Assumptions'!D34-1)</f>
        <v/>
      </c>
      <c r="E43" s="27">
        <f>IF('01_Assumptions'!E34=0,"—",'02_Actuals'!E12/'01_Assumptions'!E34-1)</f>
        <v/>
      </c>
      <c r="F43" s="27">
        <f>IF('01_Assumptions'!F34=0,"—",'02_Actuals'!F12/'01_Assumptions'!F34-1)</f>
        <v/>
      </c>
      <c r="G43" s="27">
        <f>IF('01_Assumptions'!G34=0,"—",'02_Actuals'!G12/'01_Assumptions'!G34-1)</f>
        <v/>
      </c>
      <c r="H43" s="27">
        <f>IF('01_Assumptions'!H34=0,"—",'02_Actuals'!H12/'01_Assumptions'!H34-1)</f>
        <v/>
      </c>
      <c r="I43" s="27">
        <f>IF('01_Assumptions'!I34=0,"—",'02_Actuals'!I12/'01_Assumptions'!I34-1)</f>
        <v/>
      </c>
      <c r="J43" s="27">
        <f>IF('01_Assumptions'!J34=0,"—",'02_Actuals'!J12/'01_Assumptions'!J34-1)</f>
        <v/>
      </c>
      <c r="K43" s="27">
        <f>IF('01_Assumptions'!K34=0,"—",'02_Actuals'!K12/'01_Assumptions'!K34-1)</f>
        <v/>
      </c>
      <c r="L43" s="27">
        <f>IF('01_Assumptions'!L34=0,"—",'02_Actuals'!L12/'01_Assumptions'!L34-1)</f>
        <v/>
      </c>
      <c r="M43" s="27">
        <f>IF('01_Assumptions'!M34=0,"—",'02_Actuals'!M12/'01_Assumptions'!M34-1)</f>
        <v/>
      </c>
      <c r="N43" s="27">
        <f>IF('01_Assumptions'!N34=0,"—",'02_Actuals'!N12/'01_Assumptions'!N34-1)</f>
        <v/>
      </c>
    </row>
    <row r="44">
      <c r="B44" s="15" t="inlineStr">
        <is>
          <t>DSO</t>
        </is>
      </c>
      <c r="C44" s="27">
        <f>IF('01_Assumptions'!C35=0,"—",'02_Actuals'!C13/'01_Assumptions'!C35-1)</f>
        <v/>
      </c>
      <c r="D44" s="27">
        <f>IF('01_Assumptions'!D35=0,"—",'02_Actuals'!D13/'01_Assumptions'!D35-1)</f>
        <v/>
      </c>
      <c r="E44" s="27">
        <f>IF('01_Assumptions'!E35=0,"—",'02_Actuals'!E13/'01_Assumptions'!E35-1)</f>
        <v/>
      </c>
      <c r="F44" s="27">
        <f>IF('01_Assumptions'!F35=0,"—",'02_Actuals'!F13/'01_Assumptions'!F35-1)</f>
        <v/>
      </c>
      <c r="G44" s="27">
        <f>IF('01_Assumptions'!G35=0,"—",'02_Actuals'!G13/'01_Assumptions'!G35-1)</f>
        <v/>
      </c>
      <c r="H44" s="27">
        <f>IF('01_Assumptions'!H35=0,"—",'02_Actuals'!H13/'01_Assumptions'!H35-1)</f>
        <v/>
      </c>
      <c r="I44" s="27">
        <f>IF('01_Assumptions'!I35=0,"—",'02_Actuals'!I13/'01_Assumptions'!I35-1)</f>
        <v/>
      </c>
      <c r="J44" s="27">
        <f>IF('01_Assumptions'!J35=0,"—",'02_Actuals'!J13/'01_Assumptions'!J35-1)</f>
        <v/>
      </c>
      <c r="K44" s="27">
        <f>IF('01_Assumptions'!K35=0,"—",'02_Actuals'!K13/'01_Assumptions'!K35-1)</f>
        <v/>
      </c>
      <c r="L44" s="27">
        <f>IF('01_Assumptions'!L35=0,"—",'02_Actuals'!L13/'01_Assumptions'!L35-1)</f>
        <v/>
      </c>
      <c r="M44" s="27">
        <f>IF('01_Assumptions'!M35=0,"—",'02_Actuals'!M13/'01_Assumptions'!M35-1)</f>
        <v/>
      </c>
      <c r="N44" s="27">
        <f>IF('01_Assumptions'!N35=0,"—",'02_Actuals'!N13/'01_Assumptions'!N35-1)</f>
        <v/>
      </c>
    </row>
    <row r="45">
      <c r="B45" s="15" t="inlineStr">
        <is>
          <t>CCC</t>
        </is>
      </c>
      <c r="C45" s="27">
        <f>IF('01_Assumptions'!C36=0,"—",'02_Actuals'!C14/'01_Assumptions'!C36-1)</f>
        <v/>
      </c>
      <c r="D45" s="27">
        <f>IF('01_Assumptions'!D36=0,"—",'02_Actuals'!D14/'01_Assumptions'!D36-1)</f>
        <v/>
      </c>
      <c r="E45" s="27">
        <f>IF('01_Assumptions'!E36=0,"—",'02_Actuals'!E14/'01_Assumptions'!E36-1)</f>
        <v/>
      </c>
      <c r="F45" s="27">
        <f>IF('01_Assumptions'!F36=0,"—",'02_Actuals'!F14/'01_Assumptions'!F36-1)</f>
        <v/>
      </c>
      <c r="G45" s="27">
        <f>IF('01_Assumptions'!G36=0,"—",'02_Actuals'!G14/'01_Assumptions'!G36-1)</f>
        <v/>
      </c>
      <c r="H45" s="27">
        <f>IF('01_Assumptions'!H36=0,"—",'02_Actuals'!H14/'01_Assumptions'!H36-1)</f>
        <v/>
      </c>
      <c r="I45" s="27">
        <f>IF('01_Assumptions'!I36=0,"—",'02_Actuals'!I14/'01_Assumptions'!I36-1)</f>
        <v/>
      </c>
      <c r="J45" s="27">
        <f>IF('01_Assumptions'!J36=0,"—",'02_Actuals'!J14/'01_Assumptions'!J36-1)</f>
        <v/>
      </c>
      <c r="K45" s="27">
        <f>IF('01_Assumptions'!K36=0,"—",'02_Actuals'!K14/'01_Assumptions'!K36-1)</f>
        <v/>
      </c>
      <c r="L45" s="27">
        <f>IF('01_Assumptions'!L36=0,"—",'02_Actuals'!L14/'01_Assumptions'!L36-1)</f>
        <v/>
      </c>
      <c r="M45" s="27">
        <f>IF('01_Assumptions'!M36=0,"—",'02_Actuals'!M14/'01_Assumptions'!M36-1)</f>
        <v/>
      </c>
      <c r="N45" s="27">
        <f>IF('01_Assumptions'!N36=0,"—",'02_Actuals'!N14/'01_Assumptions'!N36-1)</f>
        <v/>
      </c>
    </row>
    <row r="46">
      <c r="B46" s="15" t="inlineStr">
        <is>
          <t>Headcount</t>
        </is>
      </c>
      <c r="C46" s="27">
        <f>IF('01_Assumptions'!C37=0,"—",'02_Actuals'!C15/'01_Assumptions'!C37-1)</f>
        <v/>
      </c>
      <c r="D46" s="27">
        <f>IF('01_Assumptions'!D37=0,"—",'02_Actuals'!D15/'01_Assumptions'!D37-1)</f>
        <v/>
      </c>
      <c r="E46" s="27">
        <f>IF('01_Assumptions'!E37=0,"—",'02_Actuals'!E15/'01_Assumptions'!E37-1)</f>
        <v/>
      </c>
      <c r="F46" s="27">
        <f>IF('01_Assumptions'!F37=0,"—",'02_Actuals'!F15/'01_Assumptions'!F37-1)</f>
        <v/>
      </c>
      <c r="G46" s="27">
        <f>IF('01_Assumptions'!G37=0,"—",'02_Actuals'!G15/'01_Assumptions'!G37-1)</f>
        <v/>
      </c>
      <c r="H46" s="27">
        <f>IF('01_Assumptions'!H37=0,"—",'02_Actuals'!H15/'01_Assumptions'!H37-1)</f>
        <v/>
      </c>
      <c r="I46" s="27">
        <f>IF('01_Assumptions'!I37=0,"—",'02_Actuals'!I15/'01_Assumptions'!I37-1)</f>
        <v/>
      </c>
      <c r="J46" s="27">
        <f>IF('01_Assumptions'!J37=0,"—",'02_Actuals'!J15/'01_Assumptions'!J37-1)</f>
        <v/>
      </c>
      <c r="K46" s="27">
        <f>IF('01_Assumptions'!K37=0,"—",'02_Actuals'!K15/'01_Assumptions'!K37-1)</f>
        <v/>
      </c>
      <c r="L46" s="27">
        <f>IF('01_Assumptions'!L37=0,"—",'02_Actuals'!L15/'01_Assumptions'!L37-1)</f>
        <v/>
      </c>
      <c r="M46" s="27">
        <f>IF('01_Assumptions'!M37=0,"—",'02_Actuals'!M15/'01_Assumptions'!M37-1)</f>
        <v/>
      </c>
      <c r="N46" s="27">
        <f>IF('01_Assumptions'!N37=0,"—",'02_Actuals'!N15/'01_Assumptions'!N37-1)</f>
        <v/>
      </c>
    </row>
    <row r="47">
      <c r="B47" s="15" t="inlineStr">
        <is>
          <t>Attrition % (ann.)</t>
        </is>
      </c>
      <c r="C47" s="27">
        <f>IF('01_Assumptions'!C38=0,"—",'02_Actuals'!C16/'01_Assumptions'!C38-1)</f>
        <v/>
      </c>
      <c r="D47" s="27">
        <f>IF('01_Assumptions'!D38=0,"—",'02_Actuals'!D16/'01_Assumptions'!D38-1)</f>
        <v/>
      </c>
      <c r="E47" s="27">
        <f>IF('01_Assumptions'!E38=0,"—",'02_Actuals'!E16/'01_Assumptions'!E38-1)</f>
        <v/>
      </c>
      <c r="F47" s="27">
        <f>IF('01_Assumptions'!F38=0,"—",'02_Actuals'!F16/'01_Assumptions'!F38-1)</f>
        <v/>
      </c>
      <c r="G47" s="27">
        <f>IF('01_Assumptions'!G38=0,"—",'02_Actuals'!G16/'01_Assumptions'!G38-1)</f>
        <v/>
      </c>
      <c r="H47" s="27">
        <f>IF('01_Assumptions'!H38=0,"—",'02_Actuals'!H16/'01_Assumptions'!H38-1)</f>
        <v/>
      </c>
      <c r="I47" s="27">
        <f>IF('01_Assumptions'!I38=0,"—",'02_Actuals'!I16/'01_Assumptions'!I38-1)</f>
        <v/>
      </c>
      <c r="J47" s="27">
        <f>IF('01_Assumptions'!J38=0,"—",'02_Actuals'!J16/'01_Assumptions'!J38-1)</f>
        <v/>
      </c>
      <c r="K47" s="27">
        <f>IF('01_Assumptions'!K38=0,"—",'02_Actuals'!K16/'01_Assumptions'!K38-1)</f>
        <v/>
      </c>
      <c r="L47" s="27">
        <f>IF('01_Assumptions'!L38=0,"—",'02_Actuals'!L16/'01_Assumptions'!L38-1)</f>
        <v/>
      </c>
      <c r="M47" s="27">
        <f>IF('01_Assumptions'!M38=0,"—",'02_Actuals'!M16/'01_Assumptions'!M38-1)</f>
        <v/>
      </c>
      <c r="N47" s="27">
        <f>IF('01_Assumptions'!N38=0,"—",'02_Actuals'!N16/'01_Assumptions'!N38-1)</f>
        <v/>
      </c>
    </row>
    <row r="48">
      <c r="B48" s="15" t="inlineStr">
        <is>
          <t>Operating cash flow</t>
        </is>
      </c>
      <c r="C48" s="27">
        <f>IF('01_Assumptions'!C39=0,"—",'02_Actuals'!C17/'01_Assumptions'!C39-1)</f>
        <v/>
      </c>
      <c r="D48" s="27">
        <f>IF('01_Assumptions'!D39=0,"—",'02_Actuals'!D17/'01_Assumptions'!D39-1)</f>
        <v/>
      </c>
      <c r="E48" s="27">
        <f>IF('01_Assumptions'!E39=0,"—",'02_Actuals'!E17/'01_Assumptions'!E39-1)</f>
        <v/>
      </c>
      <c r="F48" s="27">
        <f>IF('01_Assumptions'!F39=0,"—",'02_Actuals'!F17/'01_Assumptions'!F39-1)</f>
        <v/>
      </c>
      <c r="G48" s="27">
        <f>IF('01_Assumptions'!G39=0,"—",'02_Actuals'!G17/'01_Assumptions'!G39-1)</f>
        <v/>
      </c>
      <c r="H48" s="27">
        <f>IF('01_Assumptions'!H39=0,"—",'02_Actuals'!H17/'01_Assumptions'!H39-1)</f>
        <v/>
      </c>
      <c r="I48" s="27">
        <f>IF('01_Assumptions'!I39=0,"—",'02_Actuals'!I17/'01_Assumptions'!I39-1)</f>
        <v/>
      </c>
      <c r="J48" s="27">
        <f>IF('01_Assumptions'!J39=0,"—",'02_Actuals'!J17/'01_Assumptions'!J39-1)</f>
        <v/>
      </c>
      <c r="K48" s="27">
        <f>IF('01_Assumptions'!K39=0,"—",'02_Actuals'!K17/'01_Assumptions'!K39-1)</f>
        <v/>
      </c>
      <c r="L48" s="27">
        <f>IF('01_Assumptions'!L39=0,"—",'02_Actuals'!L17/'01_Assumptions'!L39-1)</f>
        <v/>
      </c>
      <c r="M48" s="27">
        <f>IF('01_Assumptions'!M39=0,"—",'02_Actuals'!M17/'01_Assumptions'!M39-1)</f>
        <v/>
      </c>
      <c r="N48" s="27">
        <f>IF('01_Assumptions'!N39=0,"—",'02_Actuals'!N17/'01_Assumptions'!N39-1)</f>
        <v/>
      </c>
    </row>
    <row r="49">
      <c r="B49" s="15" t="inlineStr">
        <is>
          <t>SG&amp;A % of sales</t>
        </is>
      </c>
      <c r="C49" s="27">
        <f>IF('01_Assumptions'!C40=0,"—",'02_Actuals'!C18/'01_Assumptions'!C40-1)</f>
        <v/>
      </c>
      <c r="D49" s="27">
        <f>IF('01_Assumptions'!D40=0,"—",'02_Actuals'!D18/'01_Assumptions'!D40-1)</f>
        <v/>
      </c>
      <c r="E49" s="27">
        <f>IF('01_Assumptions'!E40=0,"—",'02_Actuals'!E18/'01_Assumptions'!E40-1)</f>
        <v/>
      </c>
      <c r="F49" s="27">
        <f>IF('01_Assumptions'!F40=0,"—",'02_Actuals'!F18/'01_Assumptions'!F40-1)</f>
        <v/>
      </c>
      <c r="G49" s="27">
        <f>IF('01_Assumptions'!G40=0,"—",'02_Actuals'!G18/'01_Assumptions'!G40-1)</f>
        <v/>
      </c>
      <c r="H49" s="27">
        <f>IF('01_Assumptions'!H40=0,"—",'02_Actuals'!H18/'01_Assumptions'!H40-1)</f>
        <v/>
      </c>
      <c r="I49" s="27">
        <f>IF('01_Assumptions'!I40=0,"—",'02_Actuals'!I18/'01_Assumptions'!I40-1)</f>
        <v/>
      </c>
      <c r="J49" s="27">
        <f>IF('01_Assumptions'!J40=0,"—",'02_Actuals'!J18/'01_Assumptions'!J40-1)</f>
        <v/>
      </c>
      <c r="K49" s="27">
        <f>IF('01_Assumptions'!K40=0,"—",'02_Actuals'!K18/'01_Assumptions'!K40-1)</f>
        <v/>
      </c>
      <c r="L49" s="27">
        <f>IF('01_Assumptions'!L40=0,"—",'02_Actuals'!L18/'01_Assumptions'!L40-1)</f>
        <v/>
      </c>
      <c r="M49" s="27">
        <f>IF('01_Assumptions'!M40=0,"—",'02_Actuals'!M18/'01_Assumptions'!M40-1)</f>
        <v/>
      </c>
      <c r="N49" s="27">
        <f>IF('01_Assumptions'!N40=0,"—",'02_Actuals'!N18/'01_Assumptions'!N40-1)</f>
        <v/>
      </c>
    </row>
    <row r="51">
      <c r="B51" s="10" t="inlineStr">
        <is>
          <t>Green / Amber / Red is computed, not typed. Change a target or an actual and the heatmap moves.</t>
        </is>
      </c>
    </row>
  </sheetData>
  <conditionalFormatting sqref="G8:G19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conditionalFormatting sqref="K8:K19">
    <cfRule type="cellIs" priority="4" operator="equal" dxfId="0">
      <formula>"Green"</formula>
    </cfRule>
    <cfRule type="cellIs" priority="5" operator="equal" dxfId="1">
      <formula>"Amber"</formula>
    </cfRule>
    <cfRule type="cellIs" priority="6" operator="equal" dxfId="2">
      <formula>"Red"</formula>
    </cfRule>
  </conditionalFormatting>
  <conditionalFormatting sqref="C23:N34">
    <cfRule type="cellIs" priority="7" operator="equal" dxfId="0">
      <formula>"Green"</formula>
    </cfRule>
    <cfRule type="cellIs" priority="8" operator="equal" dxfId="1">
      <formula>"Amber"</formula>
    </cfRule>
    <cfRule type="cellIs" priority="9" operator="equal" dxfId="2">
      <formula>"Red"</formula>
    </cfRule>
  </conditionalFormatting>
  <pageMargins left="0.75" right="0.75" top="1" bottom="1" header="0.5" footer="0.5"/>
  <pageSetup orientation="landscape" paperSize="3" fitToHeight="0" fitToWidth="1"/>
  <headerFooter>
    <oddHeader/>
    <oddFooter>&amp;LNorthline Consumer Products  |  fictional sample&amp;RPage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B2:O7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1" t="inlineStr">
        <is>
          <t>Trends — MoM, rolling 3-month, YTD, vs target</t>
        </is>
      </c>
    </row>
    <row r="3">
      <c r="B3" s="3" t="inlineStr">
        <is>
          <t>All formulas off 02_Actuals and 01_Assumptions. In-cell bars are a simple sparkline substitute.</t>
        </is>
      </c>
    </row>
    <row r="5">
      <c r="B5" s="11" t="inlineStr">
        <is>
          <t>Actuals (echo)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>
      <c r="C6" s="13" t="inlineStr">
        <is>
          <t>Jan-26</t>
        </is>
      </c>
      <c r="D6" s="13" t="inlineStr">
        <is>
          <t>Feb-26</t>
        </is>
      </c>
      <c r="E6" s="13" t="inlineStr">
        <is>
          <t>Mar-26</t>
        </is>
      </c>
      <c r="F6" s="13" t="inlineStr">
        <is>
          <t>Apr-26</t>
        </is>
      </c>
      <c r="G6" s="13" t="inlineStr">
        <is>
          <t>May-26</t>
        </is>
      </c>
      <c r="H6" s="13" t="inlineStr">
        <is>
          <t>Jun-26</t>
        </is>
      </c>
      <c r="I6" s="13" t="inlineStr">
        <is>
          <t>Jul-26</t>
        </is>
      </c>
      <c r="J6" s="13" t="inlineStr">
        <is>
          <t>Aug-26</t>
        </is>
      </c>
      <c r="K6" s="13" t="inlineStr">
        <is>
          <t>Sep-26</t>
        </is>
      </c>
      <c r="L6" s="13" t="inlineStr">
        <is>
          <t>Oct-26</t>
        </is>
      </c>
      <c r="M6" s="13" t="inlineStr">
        <is>
          <t>Nov-26</t>
        </is>
      </c>
      <c r="N6" s="13" t="inlineStr">
        <is>
          <t>Dec-26</t>
        </is>
      </c>
    </row>
    <row r="7">
      <c r="B7" s="15" t="inlineStr">
        <is>
          <t>Net revenue</t>
        </is>
      </c>
      <c r="C7" s="26">
        <f>'02_Actuals'!C7</f>
        <v/>
      </c>
      <c r="D7" s="26">
        <f>'02_Actuals'!D7</f>
        <v/>
      </c>
      <c r="E7" s="26">
        <f>'02_Actuals'!E7</f>
        <v/>
      </c>
      <c r="F7" s="26">
        <f>'02_Actuals'!F7</f>
        <v/>
      </c>
      <c r="G7" s="26">
        <f>'02_Actuals'!G7</f>
        <v/>
      </c>
      <c r="H7" s="26">
        <f>'02_Actuals'!H7</f>
        <v/>
      </c>
      <c r="I7" s="26">
        <f>'02_Actuals'!I7</f>
        <v/>
      </c>
      <c r="J7" s="26">
        <f>'02_Actuals'!J7</f>
        <v/>
      </c>
      <c r="K7" s="26">
        <f>'02_Actuals'!K7</f>
        <v/>
      </c>
      <c r="L7" s="26">
        <f>'02_Actuals'!L7</f>
        <v/>
      </c>
      <c r="M7" s="26">
        <f>'02_Actuals'!M7</f>
        <v/>
      </c>
      <c r="N7" s="26">
        <f>'02_Actuals'!N7</f>
        <v/>
      </c>
    </row>
    <row r="8">
      <c r="B8" s="15" t="inlineStr">
        <is>
          <t>Gross margin %</t>
        </is>
      </c>
      <c r="C8" s="27">
        <f>'02_Actuals'!C8</f>
        <v/>
      </c>
      <c r="D8" s="27">
        <f>'02_Actuals'!D8</f>
        <v/>
      </c>
      <c r="E8" s="27">
        <f>'02_Actuals'!E8</f>
        <v/>
      </c>
      <c r="F8" s="27">
        <f>'02_Actuals'!F8</f>
        <v/>
      </c>
      <c r="G8" s="27">
        <f>'02_Actuals'!G8</f>
        <v/>
      </c>
      <c r="H8" s="27">
        <f>'02_Actuals'!H8</f>
        <v/>
      </c>
      <c r="I8" s="27">
        <f>'02_Actuals'!I8</f>
        <v/>
      </c>
      <c r="J8" s="27">
        <f>'02_Actuals'!J8</f>
        <v/>
      </c>
      <c r="K8" s="27">
        <f>'02_Actuals'!K8</f>
        <v/>
      </c>
      <c r="L8" s="27">
        <f>'02_Actuals'!L8</f>
        <v/>
      </c>
      <c r="M8" s="27">
        <f>'02_Actuals'!M8</f>
        <v/>
      </c>
      <c r="N8" s="27">
        <f>'02_Actuals'!N8</f>
        <v/>
      </c>
    </row>
    <row r="9">
      <c r="B9" s="15" t="inlineStr">
        <is>
          <t>EBITDA</t>
        </is>
      </c>
      <c r="C9" s="26">
        <f>'02_Actuals'!C9</f>
        <v/>
      </c>
      <c r="D9" s="26">
        <f>'02_Actuals'!D9</f>
        <v/>
      </c>
      <c r="E9" s="26">
        <f>'02_Actuals'!E9</f>
        <v/>
      </c>
      <c r="F9" s="26">
        <f>'02_Actuals'!F9</f>
        <v/>
      </c>
      <c r="G9" s="26">
        <f>'02_Actuals'!G9</f>
        <v/>
      </c>
      <c r="H9" s="26">
        <f>'02_Actuals'!H9</f>
        <v/>
      </c>
      <c r="I9" s="26">
        <f>'02_Actuals'!I9</f>
        <v/>
      </c>
      <c r="J9" s="26">
        <f>'02_Actuals'!J9</f>
        <v/>
      </c>
      <c r="K9" s="26">
        <f>'02_Actuals'!K9</f>
        <v/>
      </c>
      <c r="L9" s="26">
        <f>'02_Actuals'!L9</f>
        <v/>
      </c>
      <c r="M9" s="26">
        <f>'02_Actuals'!M9</f>
        <v/>
      </c>
      <c r="N9" s="26">
        <f>'02_Actuals'!N9</f>
        <v/>
      </c>
    </row>
    <row r="10">
      <c r="B10" s="15" t="inlineStr">
        <is>
          <t>Volume</t>
        </is>
      </c>
      <c r="C10" s="25">
        <f>'02_Actuals'!C10</f>
        <v/>
      </c>
      <c r="D10" s="25">
        <f>'02_Actuals'!D10</f>
        <v/>
      </c>
      <c r="E10" s="25">
        <f>'02_Actuals'!E10</f>
        <v/>
      </c>
      <c r="F10" s="25">
        <f>'02_Actuals'!F10</f>
        <v/>
      </c>
      <c r="G10" s="25">
        <f>'02_Actuals'!G10</f>
        <v/>
      </c>
      <c r="H10" s="25">
        <f>'02_Actuals'!H10</f>
        <v/>
      </c>
      <c r="I10" s="25">
        <f>'02_Actuals'!I10</f>
        <v/>
      </c>
      <c r="J10" s="25">
        <f>'02_Actuals'!J10</f>
        <v/>
      </c>
      <c r="K10" s="25">
        <f>'02_Actuals'!K10</f>
        <v/>
      </c>
      <c r="L10" s="25">
        <f>'02_Actuals'!L10</f>
        <v/>
      </c>
      <c r="M10" s="25">
        <f>'02_Actuals'!M10</f>
        <v/>
      </c>
      <c r="N10" s="25">
        <f>'02_Actuals'!N10</f>
        <v/>
      </c>
    </row>
    <row r="11">
      <c r="B11" s="15" t="inlineStr">
        <is>
          <t>OTIF %</t>
        </is>
      </c>
      <c r="C11" s="27">
        <f>'02_Actuals'!C11</f>
        <v/>
      </c>
      <c r="D11" s="27">
        <f>'02_Actuals'!D11</f>
        <v/>
      </c>
      <c r="E11" s="27">
        <f>'02_Actuals'!E11</f>
        <v/>
      </c>
      <c r="F11" s="27">
        <f>'02_Actuals'!F11</f>
        <v/>
      </c>
      <c r="G11" s="27">
        <f>'02_Actuals'!G11</f>
        <v/>
      </c>
      <c r="H11" s="27">
        <f>'02_Actuals'!H11</f>
        <v/>
      </c>
      <c r="I11" s="27">
        <f>'02_Actuals'!I11</f>
        <v/>
      </c>
      <c r="J11" s="27">
        <f>'02_Actuals'!J11</f>
        <v/>
      </c>
      <c r="K11" s="27">
        <f>'02_Actuals'!K11</f>
        <v/>
      </c>
      <c r="L11" s="27">
        <f>'02_Actuals'!L11</f>
        <v/>
      </c>
      <c r="M11" s="27">
        <f>'02_Actuals'!M11</f>
        <v/>
      </c>
      <c r="N11" s="27">
        <f>'02_Actuals'!N11</f>
        <v/>
      </c>
    </row>
    <row r="12">
      <c r="B12" s="15" t="inlineStr">
        <is>
          <t>Scrap %</t>
        </is>
      </c>
      <c r="C12" s="27">
        <f>'02_Actuals'!C12</f>
        <v/>
      </c>
      <c r="D12" s="27">
        <f>'02_Actuals'!D12</f>
        <v/>
      </c>
      <c r="E12" s="27">
        <f>'02_Actuals'!E12</f>
        <v/>
      </c>
      <c r="F12" s="27">
        <f>'02_Actuals'!F12</f>
        <v/>
      </c>
      <c r="G12" s="27">
        <f>'02_Actuals'!G12</f>
        <v/>
      </c>
      <c r="H12" s="27">
        <f>'02_Actuals'!H12</f>
        <v/>
      </c>
      <c r="I12" s="27">
        <f>'02_Actuals'!I12</f>
        <v/>
      </c>
      <c r="J12" s="27">
        <f>'02_Actuals'!J12</f>
        <v/>
      </c>
      <c r="K12" s="27">
        <f>'02_Actuals'!K12</f>
        <v/>
      </c>
      <c r="L12" s="27">
        <f>'02_Actuals'!L12</f>
        <v/>
      </c>
      <c r="M12" s="27">
        <f>'02_Actuals'!M12</f>
        <v/>
      </c>
      <c r="N12" s="27">
        <f>'02_Actuals'!N12</f>
        <v/>
      </c>
    </row>
    <row r="13">
      <c r="B13" s="15" t="inlineStr">
        <is>
          <t>DSO</t>
        </is>
      </c>
      <c r="C13" s="28">
        <f>'02_Actuals'!C13</f>
        <v/>
      </c>
      <c r="D13" s="28">
        <f>'02_Actuals'!D13</f>
        <v/>
      </c>
      <c r="E13" s="28">
        <f>'02_Actuals'!E13</f>
        <v/>
      </c>
      <c r="F13" s="28">
        <f>'02_Actuals'!F13</f>
        <v/>
      </c>
      <c r="G13" s="28">
        <f>'02_Actuals'!G13</f>
        <v/>
      </c>
      <c r="H13" s="28">
        <f>'02_Actuals'!H13</f>
        <v/>
      </c>
      <c r="I13" s="28">
        <f>'02_Actuals'!I13</f>
        <v/>
      </c>
      <c r="J13" s="28">
        <f>'02_Actuals'!J13</f>
        <v/>
      </c>
      <c r="K13" s="28">
        <f>'02_Actuals'!K13</f>
        <v/>
      </c>
      <c r="L13" s="28">
        <f>'02_Actuals'!L13</f>
        <v/>
      </c>
      <c r="M13" s="28">
        <f>'02_Actuals'!M13</f>
        <v/>
      </c>
      <c r="N13" s="28">
        <f>'02_Actuals'!N13</f>
        <v/>
      </c>
    </row>
    <row r="14">
      <c r="B14" s="15" t="inlineStr">
        <is>
          <t>CCC</t>
        </is>
      </c>
      <c r="C14" s="28">
        <f>'02_Actuals'!C14</f>
        <v/>
      </c>
      <c r="D14" s="28">
        <f>'02_Actuals'!D14</f>
        <v/>
      </c>
      <c r="E14" s="28">
        <f>'02_Actuals'!E14</f>
        <v/>
      </c>
      <c r="F14" s="28">
        <f>'02_Actuals'!F14</f>
        <v/>
      </c>
      <c r="G14" s="28">
        <f>'02_Actuals'!G14</f>
        <v/>
      </c>
      <c r="H14" s="28">
        <f>'02_Actuals'!H14</f>
        <v/>
      </c>
      <c r="I14" s="28">
        <f>'02_Actuals'!I14</f>
        <v/>
      </c>
      <c r="J14" s="28">
        <f>'02_Actuals'!J14</f>
        <v/>
      </c>
      <c r="K14" s="28">
        <f>'02_Actuals'!K14</f>
        <v/>
      </c>
      <c r="L14" s="28">
        <f>'02_Actuals'!L14</f>
        <v/>
      </c>
      <c r="M14" s="28">
        <f>'02_Actuals'!M14</f>
        <v/>
      </c>
      <c r="N14" s="28">
        <f>'02_Actuals'!N14</f>
        <v/>
      </c>
    </row>
    <row r="15">
      <c r="B15" s="15" t="inlineStr">
        <is>
          <t>Headcount</t>
        </is>
      </c>
      <c r="C15" s="28">
        <f>'02_Actuals'!C15</f>
        <v/>
      </c>
      <c r="D15" s="28">
        <f>'02_Actuals'!D15</f>
        <v/>
      </c>
      <c r="E15" s="28">
        <f>'02_Actuals'!E15</f>
        <v/>
      </c>
      <c r="F15" s="28">
        <f>'02_Actuals'!F15</f>
        <v/>
      </c>
      <c r="G15" s="28">
        <f>'02_Actuals'!G15</f>
        <v/>
      </c>
      <c r="H15" s="28">
        <f>'02_Actuals'!H15</f>
        <v/>
      </c>
      <c r="I15" s="28">
        <f>'02_Actuals'!I15</f>
        <v/>
      </c>
      <c r="J15" s="28">
        <f>'02_Actuals'!J15</f>
        <v/>
      </c>
      <c r="K15" s="28">
        <f>'02_Actuals'!K15</f>
        <v/>
      </c>
      <c r="L15" s="28">
        <f>'02_Actuals'!L15</f>
        <v/>
      </c>
      <c r="M15" s="28">
        <f>'02_Actuals'!M15</f>
        <v/>
      </c>
      <c r="N15" s="28">
        <f>'02_Actuals'!N15</f>
        <v/>
      </c>
    </row>
    <row r="16">
      <c r="B16" s="15" t="inlineStr">
        <is>
          <t>Attrition % (ann.)</t>
        </is>
      </c>
      <c r="C16" s="27">
        <f>'02_Actuals'!C16</f>
        <v/>
      </c>
      <c r="D16" s="27">
        <f>'02_Actuals'!D16</f>
        <v/>
      </c>
      <c r="E16" s="27">
        <f>'02_Actuals'!E16</f>
        <v/>
      </c>
      <c r="F16" s="27">
        <f>'02_Actuals'!F16</f>
        <v/>
      </c>
      <c r="G16" s="27">
        <f>'02_Actuals'!G16</f>
        <v/>
      </c>
      <c r="H16" s="27">
        <f>'02_Actuals'!H16</f>
        <v/>
      </c>
      <c r="I16" s="27">
        <f>'02_Actuals'!I16</f>
        <v/>
      </c>
      <c r="J16" s="27">
        <f>'02_Actuals'!J16</f>
        <v/>
      </c>
      <c r="K16" s="27">
        <f>'02_Actuals'!K16</f>
        <v/>
      </c>
      <c r="L16" s="27">
        <f>'02_Actuals'!L16</f>
        <v/>
      </c>
      <c r="M16" s="27">
        <f>'02_Actuals'!M16</f>
        <v/>
      </c>
      <c r="N16" s="27">
        <f>'02_Actuals'!N16</f>
        <v/>
      </c>
    </row>
    <row r="17">
      <c r="B17" s="15" t="inlineStr">
        <is>
          <t>Operating cash flow</t>
        </is>
      </c>
      <c r="C17" s="26">
        <f>'02_Actuals'!C17</f>
        <v/>
      </c>
      <c r="D17" s="26">
        <f>'02_Actuals'!D17</f>
        <v/>
      </c>
      <c r="E17" s="26">
        <f>'02_Actuals'!E17</f>
        <v/>
      </c>
      <c r="F17" s="26">
        <f>'02_Actuals'!F17</f>
        <v/>
      </c>
      <c r="G17" s="26">
        <f>'02_Actuals'!G17</f>
        <v/>
      </c>
      <c r="H17" s="26">
        <f>'02_Actuals'!H17</f>
        <v/>
      </c>
      <c r="I17" s="26">
        <f>'02_Actuals'!I17</f>
        <v/>
      </c>
      <c r="J17" s="26">
        <f>'02_Actuals'!J17</f>
        <v/>
      </c>
      <c r="K17" s="26">
        <f>'02_Actuals'!K17</f>
        <v/>
      </c>
      <c r="L17" s="26">
        <f>'02_Actuals'!L17</f>
        <v/>
      </c>
      <c r="M17" s="26">
        <f>'02_Actuals'!M17</f>
        <v/>
      </c>
      <c r="N17" s="26">
        <f>'02_Actuals'!N17</f>
        <v/>
      </c>
    </row>
    <row r="18">
      <c r="B18" s="15" t="inlineStr">
        <is>
          <t>SG&amp;A % of sales</t>
        </is>
      </c>
      <c r="C18" s="27">
        <f>'02_Actuals'!C18</f>
        <v/>
      </c>
      <c r="D18" s="27">
        <f>'02_Actuals'!D18</f>
        <v/>
      </c>
      <c r="E18" s="27">
        <f>'02_Actuals'!E18</f>
        <v/>
      </c>
      <c r="F18" s="27">
        <f>'02_Actuals'!F18</f>
        <v/>
      </c>
      <c r="G18" s="27">
        <f>'02_Actuals'!G18</f>
        <v/>
      </c>
      <c r="H18" s="27">
        <f>'02_Actuals'!H18</f>
        <v/>
      </c>
      <c r="I18" s="27">
        <f>'02_Actuals'!I18</f>
        <v/>
      </c>
      <c r="J18" s="27">
        <f>'02_Actuals'!J18</f>
        <v/>
      </c>
      <c r="K18" s="27">
        <f>'02_Actuals'!K18</f>
        <v/>
      </c>
      <c r="L18" s="27">
        <f>'02_Actuals'!L18</f>
        <v/>
      </c>
      <c r="M18" s="27">
        <f>'02_Actuals'!M18</f>
        <v/>
      </c>
      <c r="N18" s="27">
        <f>'02_Actuals'!N18</f>
        <v/>
      </c>
    </row>
    <row r="20">
      <c r="B20" s="11" t="inlineStr">
        <is>
          <t>Month-on-month change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>
      <c r="C21" s="13" t="inlineStr">
        <is>
          <t>Jan-26</t>
        </is>
      </c>
      <c r="D21" s="13" t="inlineStr">
        <is>
          <t>Feb-26</t>
        </is>
      </c>
      <c r="E21" s="13" t="inlineStr">
        <is>
          <t>Mar-26</t>
        </is>
      </c>
      <c r="F21" s="13" t="inlineStr">
        <is>
          <t>Apr-26</t>
        </is>
      </c>
      <c r="G21" s="13" t="inlineStr">
        <is>
          <t>May-26</t>
        </is>
      </c>
      <c r="H21" s="13" t="inlineStr">
        <is>
          <t>Jun-26</t>
        </is>
      </c>
      <c r="I21" s="13" t="inlineStr">
        <is>
          <t>Jul-26</t>
        </is>
      </c>
      <c r="J21" s="13" t="inlineStr">
        <is>
          <t>Aug-26</t>
        </is>
      </c>
      <c r="K21" s="13" t="inlineStr">
        <is>
          <t>Sep-26</t>
        </is>
      </c>
      <c r="L21" s="13" t="inlineStr">
        <is>
          <t>Oct-26</t>
        </is>
      </c>
      <c r="M21" s="13" t="inlineStr">
        <is>
          <t>Nov-26</t>
        </is>
      </c>
      <c r="N21" s="13" t="inlineStr">
        <is>
          <t>Dec-26</t>
        </is>
      </c>
    </row>
    <row r="22">
      <c r="B22" s="15" t="inlineStr">
        <is>
          <t>Net revenue</t>
        </is>
      </c>
      <c r="C22" s="31" t="inlineStr">
        <is>
          <t>—</t>
        </is>
      </c>
      <c r="D22" s="27">
        <f>IF(C7=0,"—",D7/C7-1)</f>
        <v/>
      </c>
      <c r="E22" s="27">
        <f>IF(D7=0,"—",E7/D7-1)</f>
        <v/>
      </c>
      <c r="F22" s="27">
        <f>IF(E7=0,"—",F7/E7-1)</f>
        <v/>
      </c>
      <c r="G22" s="27">
        <f>IF(F7=0,"—",G7/F7-1)</f>
        <v/>
      </c>
      <c r="H22" s="27">
        <f>IF(G7=0,"—",H7/G7-1)</f>
        <v/>
      </c>
      <c r="I22" s="27">
        <f>IF(H7=0,"—",I7/H7-1)</f>
        <v/>
      </c>
      <c r="J22" s="27">
        <f>IF(I7=0,"—",J7/I7-1)</f>
        <v/>
      </c>
      <c r="K22" s="27">
        <f>IF(J7=0,"—",K7/J7-1)</f>
        <v/>
      </c>
      <c r="L22" s="27">
        <f>IF(K7=0,"—",L7/K7-1)</f>
        <v/>
      </c>
      <c r="M22" s="27">
        <f>IF(L7=0,"—",M7/L7-1)</f>
        <v/>
      </c>
      <c r="N22" s="27">
        <f>IF(M7=0,"—",N7/M7-1)</f>
        <v/>
      </c>
    </row>
    <row r="23">
      <c r="B23" s="15" t="inlineStr">
        <is>
          <t>Gross margin %</t>
        </is>
      </c>
      <c r="C23" s="31" t="inlineStr">
        <is>
          <t>—</t>
        </is>
      </c>
      <c r="D23" s="27">
        <f>D8-C8</f>
        <v/>
      </c>
      <c r="E23" s="27">
        <f>E8-D8</f>
        <v/>
      </c>
      <c r="F23" s="27">
        <f>F8-E8</f>
        <v/>
      </c>
      <c r="G23" s="27">
        <f>G8-F8</f>
        <v/>
      </c>
      <c r="H23" s="27">
        <f>H8-G8</f>
        <v/>
      </c>
      <c r="I23" s="27">
        <f>I8-H8</f>
        <v/>
      </c>
      <c r="J23" s="27">
        <f>J8-I8</f>
        <v/>
      </c>
      <c r="K23" s="27">
        <f>K8-J8</f>
        <v/>
      </c>
      <c r="L23" s="27">
        <f>L8-K8</f>
        <v/>
      </c>
      <c r="M23" s="27">
        <f>M8-L8</f>
        <v/>
      </c>
      <c r="N23" s="27">
        <f>N8-M8</f>
        <v/>
      </c>
    </row>
    <row r="24">
      <c r="B24" s="15" t="inlineStr">
        <is>
          <t>EBITDA</t>
        </is>
      </c>
      <c r="C24" s="31" t="inlineStr">
        <is>
          <t>—</t>
        </is>
      </c>
      <c r="D24" s="27">
        <f>IF(C9=0,"—",D9/C9-1)</f>
        <v/>
      </c>
      <c r="E24" s="27">
        <f>IF(D9=0,"—",E9/D9-1)</f>
        <v/>
      </c>
      <c r="F24" s="27">
        <f>IF(E9=0,"—",F9/E9-1)</f>
        <v/>
      </c>
      <c r="G24" s="27">
        <f>IF(F9=0,"—",G9/F9-1)</f>
        <v/>
      </c>
      <c r="H24" s="27">
        <f>IF(G9=0,"—",H9/G9-1)</f>
        <v/>
      </c>
      <c r="I24" s="27">
        <f>IF(H9=0,"—",I9/H9-1)</f>
        <v/>
      </c>
      <c r="J24" s="27">
        <f>IF(I9=0,"—",J9/I9-1)</f>
        <v/>
      </c>
      <c r="K24" s="27">
        <f>IF(J9=0,"—",K9/J9-1)</f>
        <v/>
      </c>
      <c r="L24" s="27">
        <f>IF(K9=0,"—",L9/K9-1)</f>
        <v/>
      </c>
      <c r="M24" s="27">
        <f>IF(L9=0,"—",M9/L9-1)</f>
        <v/>
      </c>
      <c r="N24" s="27">
        <f>IF(M9=0,"—",N9/M9-1)</f>
        <v/>
      </c>
    </row>
    <row r="25">
      <c r="B25" s="15" t="inlineStr">
        <is>
          <t>Volume</t>
        </is>
      </c>
      <c r="C25" s="31" t="inlineStr">
        <is>
          <t>—</t>
        </is>
      </c>
      <c r="D25" s="27">
        <f>IF(C10=0,"—",D10/C10-1)</f>
        <v/>
      </c>
      <c r="E25" s="27">
        <f>IF(D10=0,"—",E10/D10-1)</f>
        <v/>
      </c>
      <c r="F25" s="27">
        <f>IF(E10=0,"—",F10/E10-1)</f>
        <v/>
      </c>
      <c r="G25" s="27">
        <f>IF(F10=0,"—",G10/F10-1)</f>
        <v/>
      </c>
      <c r="H25" s="27">
        <f>IF(G10=0,"—",H10/G10-1)</f>
        <v/>
      </c>
      <c r="I25" s="27">
        <f>IF(H10=0,"—",I10/H10-1)</f>
        <v/>
      </c>
      <c r="J25" s="27">
        <f>IF(I10=0,"—",J10/I10-1)</f>
        <v/>
      </c>
      <c r="K25" s="27">
        <f>IF(J10=0,"—",K10/J10-1)</f>
        <v/>
      </c>
      <c r="L25" s="27">
        <f>IF(K10=0,"—",L10/K10-1)</f>
        <v/>
      </c>
      <c r="M25" s="27">
        <f>IF(L10=0,"—",M10/L10-1)</f>
        <v/>
      </c>
      <c r="N25" s="27">
        <f>IF(M10=0,"—",N10/M10-1)</f>
        <v/>
      </c>
    </row>
    <row r="26">
      <c r="B26" s="15" t="inlineStr">
        <is>
          <t>OTIF %</t>
        </is>
      </c>
      <c r="C26" s="31" t="inlineStr">
        <is>
          <t>—</t>
        </is>
      </c>
      <c r="D26" s="27">
        <f>D11-C11</f>
        <v/>
      </c>
      <c r="E26" s="27">
        <f>E11-D11</f>
        <v/>
      </c>
      <c r="F26" s="27">
        <f>F11-E11</f>
        <v/>
      </c>
      <c r="G26" s="27">
        <f>G11-F11</f>
        <v/>
      </c>
      <c r="H26" s="27">
        <f>H11-G11</f>
        <v/>
      </c>
      <c r="I26" s="27">
        <f>I11-H11</f>
        <v/>
      </c>
      <c r="J26" s="27">
        <f>J11-I11</f>
        <v/>
      </c>
      <c r="K26" s="27">
        <f>K11-J11</f>
        <v/>
      </c>
      <c r="L26" s="27">
        <f>L11-K11</f>
        <v/>
      </c>
      <c r="M26" s="27">
        <f>M11-L11</f>
        <v/>
      </c>
      <c r="N26" s="27">
        <f>N11-M11</f>
        <v/>
      </c>
    </row>
    <row r="27">
      <c r="B27" s="15" t="inlineStr">
        <is>
          <t>Scrap %</t>
        </is>
      </c>
      <c r="C27" s="31" t="inlineStr">
        <is>
          <t>—</t>
        </is>
      </c>
      <c r="D27" s="27">
        <f>D12-C12</f>
        <v/>
      </c>
      <c r="E27" s="27">
        <f>E12-D12</f>
        <v/>
      </c>
      <c r="F27" s="27">
        <f>F12-E12</f>
        <v/>
      </c>
      <c r="G27" s="27">
        <f>G12-F12</f>
        <v/>
      </c>
      <c r="H27" s="27">
        <f>H12-G12</f>
        <v/>
      </c>
      <c r="I27" s="27">
        <f>I12-H12</f>
        <v/>
      </c>
      <c r="J27" s="27">
        <f>J12-I12</f>
        <v/>
      </c>
      <c r="K27" s="27">
        <f>K12-J12</f>
        <v/>
      </c>
      <c r="L27" s="27">
        <f>L12-K12</f>
        <v/>
      </c>
      <c r="M27" s="27">
        <f>M12-L12</f>
        <v/>
      </c>
      <c r="N27" s="27">
        <f>N12-M12</f>
        <v/>
      </c>
    </row>
    <row r="28">
      <c r="B28" s="15" t="inlineStr">
        <is>
          <t>DSO</t>
        </is>
      </c>
      <c r="C28" s="31" t="inlineStr">
        <is>
          <t>—</t>
        </is>
      </c>
      <c r="D28" s="27">
        <f>IF(C13=0,"—",D13/C13-1)</f>
        <v/>
      </c>
      <c r="E28" s="27">
        <f>IF(D13=0,"—",E13/D13-1)</f>
        <v/>
      </c>
      <c r="F28" s="27">
        <f>IF(E13=0,"—",F13/E13-1)</f>
        <v/>
      </c>
      <c r="G28" s="27">
        <f>IF(F13=0,"—",G13/F13-1)</f>
        <v/>
      </c>
      <c r="H28" s="27">
        <f>IF(G13=0,"—",H13/G13-1)</f>
        <v/>
      </c>
      <c r="I28" s="27">
        <f>IF(H13=0,"—",I13/H13-1)</f>
        <v/>
      </c>
      <c r="J28" s="27">
        <f>IF(I13=0,"—",J13/I13-1)</f>
        <v/>
      </c>
      <c r="K28" s="27">
        <f>IF(J13=0,"—",K13/J13-1)</f>
        <v/>
      </c>
      <c r="L28" s="27">
        <f>IF(K13=0,"—",L13/K13-1)</f>
        <v/>
      </c>
      <c r="M28" s="27">
        <f>IF(L13=0,"—",M13/L13-1)</f>
        <v/>
      </c>
      <c r="N28" s="27">
        <f>IF(M13=0,"—",N13/M13-1)</f>
        <v/>
      </c>
    </row>
    <row r="29">
      <c r="B29" s="15" t="inlineStr">
        <is>
          <t>CCC</t>
        </is>
      </c>
      <c r="C29" s="31" t="inlineStr">
        <is>
          <t>—</t>
        </is>
      </c>
      <c r="D29" s="27">
        <f>IF(C14=0,"—",D14/C14-1)</f>
        <v/>
      </c>
      <c r="E29" s="27">
        <f>IF(D14=0,"—",E14/D14-1)</f>
        <v/>
      </c>
      <c r="F29" s="27">
        <f>IF(E14=0,"—",F14/E14-1)</f>
        <v/>
      </c>
      <c r="G29" s="27">
        <f>IF(F14=0,"—",G14/F14-1)</f>
        <v/>
      </c>
      <c r="H29" s="27">
        <f>IF(G14=0,"—",H14/G14-1)</f>
        <v/>
      </c>
      <c r="I29" s="27">
        <f>IF(H14=0,"—",I14/H14-1)</f>
        <v/>
      </c>
      <c r="J29" s="27">
        <f>IF(I14=0,"—",J14/I14-1)</f>
        <v/>
      </c>
      <c r="K29" s="27">
        <f>IF(J14=0,"—",K14/J14-1)</f>
        <v/>
      </c>
      <c r="L29" s="27">
        <f>IF(K14=0,"—",L14/K14-1)</f>
        <v/>
      </c>
      <c r="M29" s="27">
        <f>IF(L14=0,"—",M14/L14-1)</f>
        <v/>
      </c>
      <c r="N29" s="27">
        <f>IF(M14=0,"—",N14/M14-1)</f>
        <v/>
      </c>
    </row>
    <row r="30">
      <c r="B30" s="15" t="inlineStr">
        <is>
          <t>Headcount</t>
        </is>
      </c>
      <c r="C30" s="31" t="inlineStr">
        <is>
          <t>—</t>
        </is>
      </c>
      <c r="D30" s="27">
        <f>IF(C15=0,"—",D15/C15-1)</f>
        <v/>
      </c>
      <c r="E30" s="27">
        <f>IF(D15=0,"—",E15/D15-1)</f>
        <v/>
      </c>
      <c r="F30" s="27">
        <f>IF(E15=0,"—",F15/E15-1)</f>
        <v/>
      </c>
      <c r="G30" s="27">
        <f>IF(F15=0,"—",G15/F15-1)</f>
        <v/>
      </c>
      <c r="H30" s="27">
        <f>IF(G15=0,"—",H15/G15-1)</f>
        <v/>
      </c>
      <c r="I30" s="27">
        <f>IF(H15=0,"—",I15/H15-1)</f>
        <v/>
      </c>
      <c r="J30" s="27">
        <f>IF(I15=0,"—",J15/I15-1)</f>
        <v/>
      </c>
      <c r="K30" s="27">
        <f>IF(J15=0,"—",K15/J15-1)</f>
        <v/>
      </c>
      <c r="L30" s="27">
        <f>IF(K15=0,"—",L15/K15-1)</f>
        <v/>
      </c>
      <c r="M30" s="27">
        <f>IF(L15=0,"—",M15/L15-1)</f>
        <v/>
      </c>
      <c r="N30" s="27">
        <f>IF(M15=0,"—",N15/M15-1)</f>
        <v/>
      </c>
    </row>
    <row r="31">
      <c r="B31" s="15" t="inlineStr">
        <is>
          <t>Attrition % (ann.)</t>
        </is>
      </c>
      <c r="C31" s="31" t="inlineStr">
        <is>
          <t>—</t>
        </is>
      </c>
      <c r="D31" s="27">
        <f>D16-C16</f>
        <v/>
      </c>
      <c r="E31" s="27">
        <f>E16-D16</f>
        <v/>
      </c>
      <c r="F31" s="27">
        <f>F16-E16</f>
        <v/>
      </c>
      <c r="G31" s="27">
        <f>G16-F16</f>
        <v/>
      </c>
      <c r="H31" s="27">
        <f>H16-G16</f>
        <v/>
      </c>
      <c r="I31" s="27">
        <f>I16-H16</f>
        <v/>
      </c>
      <c r="J31" s="27">
        <f>J16-I16</f>
        <v/>
      </c>
      <c r="K31" s="27">
        <f>K16-J16</f>
        <v/>
      </c>
      <c r="L31" s="27">
        <f>L16-K16</f>
        <v/>
      </c>
      <c r="M31" s="27">
        <f>M16-L16</f>
        <v/>
      </c>
      <c r="N31" s="27">
        <f>N16-M16</f>
        <v/>
      </c>
    </row>
    <row r="32">
      <c r="B32" s="15" t="inlineStr">
        <is>
          <t>Operating cash flow</t>
        </is>
      </c>
      <c r="C32" s="31" t="inlineStr">
        <is>
          <t>—</t>
        </is>
      </c>
      <c r="D32" s="27">
        <f>IF(C17=0,"—",D17/C17-1)</f>
        <v/>
      </c>
      <c r="E32" s="27">
        <f>IF(D17=0,"—",E17/D17-1)</f>
        <v/>
      </c>
      <c r="F32" s="27">
        <f>IF(E17=0,"—",F17/E17-1)</f>
        <v/>
      </c>
      <c r="G32" s="27">
        <f>IF(F17=0,"—",G17/F17-1)</f>
        <v/>
      </c>
      <c r="H32" s="27">
        <f>IF(G17=0,"—",H17/G17-1)</f>
        <v/>
      </c>
      <c r="I32" s="27">
        <f>IF(H17=0,"—",I17/H17-1)</f>
        <v/>
      </c>
      <c r="J32" s="27">
        <f>IF(I17=0,"—",J17/I17-1)</f>
        <v/>
      </c>
      <c r="K32" s="27">
        <f>IF(J17=0,"—",K17/J17-1)</f>
        <v/>
      </c>
      <c r="L32" s="27">
        <f>IF(K17=0,"—",L17/K17-1)</f>
        <v/>
      </c>
      <c r="M32" s="27">
        <f>IF(L17=0,"—",M17/L17-1)</f>
        <v/>
      </c>
      <c r="N32" s="27">
        <f>IF(M17=0,"—",N17/M17-1)</f>
        <v/>
      </c>
    </row>
    <row r="33">
      <c r="B33" s="15" t="inlineStr">
        <is>
          <t>SG&amp;A % of sales</t>
        </is>
      </c>
      <c r="C33" s="31" t="inlineStr">
        <is>
          <t>—</t>
        </is>
      </c>
      <c r="D33" s="27">
        <f>D18-C18</f>
        <v/>
      </c>
      <c r="E33" s="27">
        <f>E18-D18</f>
        <v/>
      </c>
      <c r="F33" s="27">
        <f>F18-E18</f>
        <v/>
      </c>
      <c r="G33" s="27">
        <f>G18-F18</f>
        <v/>
      </c>
      <c r="H33" s="27">
        <f>H18-G18</f>
        <v/>
      </c>
      <c r="I33" s="27">
        <f>I18-H18</f>
        <v/>
      </c>
      <c r="J33" s="27">
        <f>J18-I18</f>
        <v/>
      </c>
      <c r="K33" s="27">
        <f>K18-J18</f>
        <v/>
      </c>
      <c r="L33" s="27">
        <f>L18-K18</f>
        <v/>
      </c>
      <c r="M33" s="27">
        <f>M18-L18</f>
        <v/>
      </c>
      <c r="N33" s="27">
        <f>N18-M18</f>
        <v/>
      </c>
    </row>
    <row r="35">
      <c r="B35" s="11" t="inlineStr">
        <is>
          <t>Rolling 3-month average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</row>
    <row r="36">
      <c r="C36" s="13" t="inlineStr">
        <is>
          <t>Jan-26</t>
        </is>
      </c>
      <c r="D36" s="13" t="inlineStr">
        <is>
          <t>Feb-26</t>
        </is>
      </c>
      <c r="E36" s="13" t="inlineStr">
        <is>
          <t>Mar-26</t>
        </is>
      </c>
      <c r="F36" s="13" t="inlineStr">
        <is>
          <t>Apr-26</t>
        </is>
      </c>
      <c r="G36" s="13" t="inlineStr">
        <is>
          <t>May-26</t>
        </is>
      </c>
      <c r="H36" s="13" t="inlineStr">
        <is>
          <t>Jun-26</t>
        </is>
      </c>
      <c r="I36" s="13" t="inlineStr">
        <is>
          <t>Jul-26</t>
        </is>
      </c>
      <c r="J36" s="13" t="inlineStr">
        <is>
          <t>Aug-26</t>
        </is>
      </c>
      <c r="K36" s="13" t="inlineStr">
        <is>
          <t>Sep-26</t>
        </is>
      </c>
      <c r="L36" s="13" t="inlineStr">
        <is>
          <t>Oct-26</t>
        </is>
      </c>
      <c r="M36" s="13" t="inlineStr">
        <is>
          <t>Nov-26</t>
        </is>
      </c>
      <c r="N36" s="13" t="inlineStr">
        <is>
          <t>Dec-26</t>
        </is>
      </c>
    </row>
    <row r="37">
      <c r="B37" s="15" t="inlineStr">
        <is>
          <t>Net revenue</t>
        </is>
      </c>
      <c r="C37" s="26">
        <f>C7</f>
        <v/>
      </c>
      <c r="D37" s="26">
        <f>AVERAGE(C7:D7)</f>
        <v/>
      </c>
      <c r="E37" s="26">
        <f>AVERAGE(C7:E7)</f>
        <v/>
      </c>
      <c r="F37" s="26">
        <f>AVERAGE(D7:F7)</f>
        <v/>
      </c>
      <c r="G37" s="26">
        <f>AVERAGE(E7:G7)</f>
        <v/>
      </c>
      <c r="H37" s="26">
        <f>AVERAGE(F7:H7)</f>
        <v/>
      </c>
      <c r="I37" s="26">
        <f>AVERAGE(G7:I7)</f>
        <v/>
      </c>
      <c r="J37" s="26">
        <f>AVERAGE(H7:J7)</f>
        <v/>
      </c>
      <c r="K37" s="26">
        <f>AVERAGE(I7:K7)</f>
        <v/>
      </c>
      <c r="L37" s="26">
        <f>AVERAGE(J7:L7)</f>
        <v/>
      </c>
      <c r="M37" s="26">
        <f>AVERAGE(K7:M7)</f>
        <v/>
      </c>
      <c r="N37" s="26">
        <f>AVERAGE(L7:N7)</f>
        <v/>
      </c>
    </row>
    <row r="38">
      <c r="B38" s="15" t="inlineStr">
        <is>
          <t>Gross margin %</t>
        </is>
      </c>
      <c r="C38" s="27">
        <f>C8</f>
        <v/>
      </c>
      <c r="D38" s="27">
        <f>AVERAGE(C8:D8)</f>
        <v/>
      </c>
      <c r="E38" s="27">
        <f>AVERAGE(C8:E8)</f>
        <v/>
      </c>
      <c r="F38" s="27">
        <f>AVERAGE(D8:F8)</f>
        <v/>
      </c>
      <c r="G38" s="27">
        <f>AVERAGE(E8:G8)</f>
        <v/>
      </c>
      <c r="H38" s="27">
        <f>AVERAGE(F8:H8)</f>
        <v/>
      </c>
      <c r="I38" s="27">
        <f>AVERAGE(G8:I8)</f>
        <v/>
      </c>
      <c r="J38" s="27">
        <f>AVERAGE(H8:J8)</f>
        <v/>
      </c>
      <c r="K38" s="27">
        <f>AVERAGE(I8:K8)</f>
        <v/>
      </c>
      <c r="L38" s="27">
        <f>AVERAGE(J8:L8)</f>
        <v/>
      </c>
      <c r="M38" s="27">
        <f>AVERAGE(K8:M8)</f>
        <v/>
      </c>
      <c r="N38" s="27">
        <f>AVERAGE(L8:N8)</f>
        <v/>
      </c>
    </row>
    <row r="39">
      <c r="B39" s="15" t="inlineStr">
        <is>
          <t>EBITDA</t>
        </is>
      </c>
      <c r="C39" s="26">
        <f>C9</f>
        <v/>
      </c>
      <c r="D39" s="26">
        <f>AVERAGE(C9:D9)</f>
        <v/>
      </c>
      <c r="E39" s="26">
        <f>AVERAGE(C9:E9)</f>
        <v/>
      </c>
      <c r="F39" s="26">
        <f>AVERAGE(D9:F9)</f>
        <v/>
      </c>
      <c r="G39" s="26">
        <f>AVERAGE(E9:G9)</f>
        <v/>
      </c>
      <c r="H39" s="26">
        <f>AVERAGE(F9:H9)</f>
        <v/>
      </c>
      <c r="I39" s="26">
        <f>AVERAGE(G9:I9)</f>
        <v/>
      </c>
      <c r="J39" s="26">
        <f>AVERAGE(H9:J9)</f>
        <v/>
      </c>
      <c r="K39" s="26">
        <f>AVERAGE(I9:K9)</f>
        <v/>
      </c>
      <c r="L39" s="26">
        <f>AVERAGE(J9:L9)</f>
        <v/>
      </c>
      <c r="M39" s="26">
        <f>AVERAGE(K9:M9)</f>
        <v/>
      </c>
      <c r="N39" s="26">
        <f>AVERAGE(L9:N9)</f>
        <v/>
      </c>
    </row>
    <row r="40">
      <c r="B40" s="15" t="inlineStr">
        <is>
          <t>Volume</t>
        </is>
      </c>
      <c r="C40" s="25">
        <f>C10</f>
        <v/>
      </c>
      <c r="D40" s="25">
        <f>AVERAGE(C10:D10)</f>
        <v/>
      </c>
      <c r="E40" s="25">
        <f>AVERAGE(C10:E10)</f>
        <v/>
      </c>
      <c r="F40" s="25">
        <f>AVERAGE(D10:F10)</f>
        <v/>
      </c>
      <c r="G40" s="25">
        <f>AVERAGE(E10:G10)</f>
        <v/>
      </c>
      <c r="H40" s="25">
        <f>AVERAGE(F10:H10)</f>
        <v/>
      </c>
      <c r="I40" s="25">
        <f>AVERAGE(G10:I10)</f>
        <v/>
      </c>
      <c r="J40" s="25">
        <f>AVERAGE(H10:J10)</f>
        <v/>
      </c>
      <c r="K40" s="25">
        <f>AVERAGE(I10:K10)</f>
        <v/>
      </c>
      <c r="L40" s="25">
        <f>AVERAGE(J10:L10)</f>
        <v/>
      </c>
      <c r="M40" s="25">
        <f>AVERAGE(K10:M10)</f>
        <v/>
      </c>
      <c r="N40" s="25">
        <f>AVERAGE(L10:N10)</f>
        <v/>
      </c>
    </row>
    <row r="41">
      <c r="B41" s="15" t="inlineStr">
        <is>
          <t>OTIF %</t>
        </is>
      </c>
      <c r="C41" s="27">
        <f>C11</f>
        <v/>
      </c>
      <c r="D41" s="27">
        <f>AVERAGE(C11:D11)</f>
        <v/>
      </c>
      <c r="E41" s="27">
        <f>AVERAGE(C11:E11)</f>
        <v/>
      </c>
      <c r="F41" s="27">
        <f>AVERAGE(D11:F11)</f>
        <v/>
      </c>
      <c r="G41" s="27">
        <f>AVERAGE(E11:G11)</f>
        <v/>
      </c>
      <c r="H41" s="27">
        <f>AVERAGE(F11:H11)</f>
        <v/>
      </c>
      <c r="I41" s="27">
        <f>AVERAGE(G11:I11)</f>
        <v/>
      </c>
      <c r="J41" s="27">
        <f>AVERAGE(H11:J11)</f>
        <v/>
      </c>
      <c r="K41" s="27">
        <f>AVERAGE(I11:K11)</f>
        <v/>
      </c>
      <c r="L41" s="27">
        <f>AVERAGE(J11:L11)</f>
        <v/>
      </c>
      <c r="M41" s="27">
        <f>AVERAGE(K11:M11)</f>
        <v/>
      </c>
      <c r="N41" s="27">
        <f>AVERAGE(L11:N11)</f>
        <v/>
      </c>
    </row>
    <row r="42">
      <c r="B42" s="15" t="inlineStr">
        <is>
          <t>Scrap %</t>
        </is>
      </c>
      <c r="C42" s="27">
        <f>C12</f>
        <v/>
      </c>
      <c r="D42" s="27">
        <f>AVERAGE(C12:D12)</f>
        <v/>
      </c>
      <c r="E42" s="27">
        <f>AVERAGE(C12:E12)</f>
        <v/>
      </c>
      <c r="F42" s="27">
        <f>AVERAGE(D12:F12)</f>
        <v/>
      </c>
      <c r="G42" s="27">
        <f>AVERAGE(E12:G12)</f>
        <v/>
      </c>
      <c r="H42" s="27">
        <f>AVERAGE(F12:H12)</f>
        <v/>
      </c>
      <c r="I42" s="27">
        <f>AVERAGE(G12:I12)</f>
        <v/>
      </c>
      <c r="J42" s="27">
        <f>AVERAGE(H12:J12)</f>
        <v/>
      </c>
      <c r="K42" s="27">
        <f>AVERAGE(I12:K12)</f>
        <v/>
      </c>
      <c r="L42" s="27">
        <f>AVERAGE(J12:L12)</f>
        <v/>
      </c>
      <c r="M42" s="27">
        <f>AVERAGE(K12:M12)</f>
        <v/>
      </c>
      <c r="N42" s="27">
        <f>AVERAGE(L12:N12)</f>
        <v/>
      </c>
    </row>
    <row r="43">
      <c r="B43" s="15" t="inlineStr">
        <is>
          <t>DSO</t>
        </is>
      </c>
      <c r="C43" s="28">
        <f>C13</f>
        <v/>
      </c>
      <c r="D43" s="28">
        <f>AVERAGE(C13:D13)</f>
        <v/>
      </c>
      <c r="E43" s="28">
        <f>AVERAGE(C13:E13)</f>
        <v/>
      </c>
      <c r="F43" s="28">
        <f>AVERAGE(D13:F13)</f>
        <v/>
      </c>
      <c r="G43" s="28">
        <f>AVERAGE(E13:G13)</f>
        <v/>
      </c>
      <c r="H43" s="28">
        <f>AVERAGE(F13:H13)</f>
        <v/>
      </c>
      <c r="I43" s="28">
        <f>AVERAGE(G13:I13)</f>
        <v/>
      </c>
      <c r="J43" s="28">
        <f>AVERAGE(H13:J13)</f>
        <v/>
      </c>
      <c r="K43" s="28">
        <f>AVERAGE(I13:K13)</f>
        <v/>
      </c>
      <c r="L43" s="28">
        <f>AVERAGE(J13:L13)</f>
        <v/>
      </c>
      <c r="M43" s="28">
        <f>AVERAGE(K13:M13)</f>
        <v/>
      </c>
      <c r="N43" s="28">
        <f>AVERAGE(L13:N13)</f>
        <v/>
      </c>
    </row>
    <row r="44">
      <c r="B44" s="15" t="inlineStr">
        <is>
          <t>CCC</t>
        </is>
      </c>
      <c r="C44" s="28">
        <f>C14</f>
        <v/>
      </c>
      <c r="D44" s="28">
        <f>AVERAGE(C14:D14)</f>
        <v/>
      </c>
      <c r="E44" s="28">
        <f>AVERAGE(C14:E14)</f>
        <v/>
      </c>
      <c r="F44" s="28">
        <f>AVERAGE(D14:F14)</f>
        <v/>
      </c>
      <c r="G44" s="28">
        <f>AVERAGE(E14:G14)</f>
        <v/>
      </c>
      <c r="H44" s="28">
        <f>AVERAGE(F14:H14)</f>
        <v/>
      </c>
      <c r="I44" s="28">
        <f>AVERAGE(G14:I14)</f>
        <v/>
      </c>
      <c r="J44" s="28">
        <f>AVERAGE(H14:J14)</f>
        <v/>
      </c>
      <c r="K44" s="28">
        <f>AVERAGE(I14:K14)</f>
        <v/>
      </c>
      <c r="L44" s="28">
        <f>AVERAGE(J14:L14)</f>
        <v/>
      </c>
      <c r="M44" s="28">
        <f>AVERAGE(K14:M14)</f>
        <v/>
      </c>
      <c r="N44" s="28">
        <f>AVERAGE(L14:N14)</f>
        <v/>
      </c>
    </row>
    <row r="45">
      <c r="B45" s="15" t="inlineStr">
        <is>
          <t>Headcount</t>
        </is>
      </c>
      <c r="C45" s="28">
        <f>C15</f>
        <v/>
      </c>
      <c r="D45" s="28">
        <f>AVERAGE(C15:D15)</f>
        <v/>
      </c>
      <c r="E45" s="28">
        <f>AVERAGE(C15:E15)</f>
        <v/>
      </c>
      <c r="F45" s="28">
        <f>AVERAGE(D15:F15)</f>
        <v/>
      </c>
      <c r="G45" s="28">
        <f>AVERAGE(E15:G15)</f>
        <v/>
      </c>
      <c r="H45" s="28">
        <f>AVERAGE(F15:H15)</f>
        <v/>
      </c>
      <c r="I45" s="28">
        <f>AVERAGE(G15:I15)</f>
        <v/>
      </c>
      <c r="J45" s="28">
        <f>AVERAGE(H15:J15)</f>
        <v/>
      </c>
      <c r="K45" s="28">
        <f>AVERAGE(I15:K15)</f>
        <v/>
      </c>
      <c r="L45" s="28">
        <f>AVERAGE(J15:L15)</f>
        <v/>
      </c>
      <c r="M45" s="28">
        <f>AVERAGE(K15:M15)</f>
        <v/>
      </c>
      <c r="N45" s="28">
        <f>AVERAGE(L15:N15)</f>
        <v/>
      </c>
    </row>
    <row r="46">
      <c r="B46" s="15" t="inlineStr">
        <is>
          <t>Attrition % (ann.)</t>
        </is>
      </c>
      <c r="C46" s="27">
        <f>C16</f>
        <v/>
      </c>
      <c r="D46" s="27">
        <f>AVERAGE(C16:D16)</f>
        <v/>
      </c>
      <c r="E46" s="27">
        <f>AVERAGE(C16:E16)</f>
        <v/>
      </c>
      <c r="F46" s="27">
        <f>AVERAGE(D16:F16)</f>
        <v/>
      </c>
      <c r="G46" s="27">
        <f>AVERAGE(E16:G16)</f>
        <v/>
      </c>
      <c r="H46" s="27">
        <f>AVERAGE(F16:H16)</f>
        <v/>
      </c>
      <c r="I46" s="27">
        <f>AVERAGE(G16:I16)</f>
        <v/>
      </c>
      <c r="J46" s="27">
        <f>AVERAGE(H16:J16)</f>
        <v/>
      </c>
      <c r="K46" s="27">
        <f>AVERAGE(I16:K16)</f>
        <v/>
      </c>
      <c r="L46" s="27">
        <f>AVERAGE(J16:L16)</f>
        <v/>
      </c>
      <c r="M46" s="27">
        <f>AVERAGE(K16:M16)</f>
        <v/>
      </c>
      <c r="N46" s="27">
        <f>AVERAGE(L16:N16)</f>
        <v/>
      </c>
    </row>
    <row r="47">
      <c r="B47" s="15" t="inlineStr">
        <is>
          <t>Operating cash flow</t>
        </is>
      </c>
      <c r="C47" s="26">
        <f>C17</f>
        <v/>
      </c>
      <c r="D47" s="26">
        <f>AVERAGE(C17:D17)</f>
        <v/>
      </c>
      <c r="E47" s="26">
        <f>AVERAGE(C17:E17)</f>
        <v/>
      </c>
      <c r="F47" s="26">
        <f>AVERAGE(D17:F17)</f>
        <v/>
      </c>
      <c r="G47" s="26">
        <f>AVERAGE(E17:G17)</f>
        <v/>
      </c>
      <c r="H47" s="26">
        <f>AVERAGE(F17:H17)</f>
        <v/>
      </c>
      <c r="I47" s="26">
        <f>AVERAGE(G17:I17)</f>
        <v/>
      </c>
      <c r="J47" s="26">
        <f>AVERAGE(H17:J17)</f>
        <v/>
      </c>
      <c r="K47" s="26">
        <f>AVERAGE(I17:K17)</f>
        <v/>
      </c>
      <c r="L47" s="26">
        <f>AVERAGE(J17:L17)</f>
        <v/>
      </c>
      <c r="M47" s="26">
        <f>AVERAGE(K17:M17)</f>
        <v/>
      </c>
      <c r="N47" s="26">
        <f>AVERAGE(L17:N17)</f>
        <v/>
      </c>
    </row>
    <row r="48">
      <c r="B48" s="15" t="inlineStr">
        <is>
          <t>SG&amp;A % of sales</t>
        </is>
      </c>
      <c r="C48" s="27">
        <f>C18</f>
        <v/>
      </c>
      <c r="D48" s="27">
        <f>AVERAGE(C18:D18)</f>
        <v/>
      </c>
      <c r="E48" s="27">
        <f>AVERAGE(C18:E18)</f>
        <v/>
      </c>
      <c r="F48" s="27">
        <f>AVERAGE(D18:F18)</f>
        <v/>
      </c>
      <c r="G48" s="27">
        <f>AVERAGE(E18:G18)</f>
        <v/>
      </c>
      <c r="H48" s="27">
        <f>AVERAGE(F18:H18)</f>
        <v/>
      </c>
      <c r="I48" s="27">
        <f>AVERAGE(G18:I18)</f>
        <v/>
      </c>
      <c r="J48" s="27">
        <f>AVERAGE(H18:J18)</f>
        <v/>
      </c>
      <c r="K48" s="27">
        <f>AVERAGE(I18:K18)</f>
        <v/>
      </c>
      <c r="L48" s="27">
        <f>AVERAGE(J18:L18)</f>
        <v/>
      </c>
      <c r="M48" s="27">
        <f>AVERAGE(K18:M18)</f>
        <v/>
      </c>
      <c r="N48" s="27">
        <f>AVERAGE(L18:N18)</f>
        <v/>
      </c>
    </row>
    <row r="50">
      <c r="B50" s="11" t="inlineStr">
        <is>
          <t>Variance vs monthly target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</row>
    <row r="51">
      <c r="C51" s="13" t="inlineStr">
        <is>
          <t>Jan-26</t>
        </is>
      </c>
      <c r="D51" s="13" t="inlineStr">
        <is>
          <t>Feb-26</t>
        </is>
      </c>
      <c r="E51" s="13" t="inlineStr">
        <is>
          <t>Mar-26</t>
        </is>
      </c>
      <c r="F51" s="13" t="inlineStr">
        <is>
          <t>Apr-26</t>
        </is>
      </c>
      <c r="G51" s="13" t="inlineStr">
        <is>
          <t>May-26</t>
        </is>
      </c>
      <c r="H51" s="13" t="inlineStr">
        <is>
          <t>Jun-26</t>
        </is>
      </c>
      <c r="I51" s="13" t="inlineStr">
        <is>
          <t>Jul-26</t>
        </is>
      </c>
      <c r="J51" s="13" t="inlineStr">
        <is>
          <t>Aug-26</t>
        </is>
      </c>
      <c r="K51" s="13" t="inlineStr">
        <is>
          <t>Sep-26</t>
        </is>
      </c>
      <c r="L51" s="13" t="inlineStr">
        <is>
          <t>Oct-26</t>
        </is>
      </c>
      <c r="M51" s="13" t="inlineStr">
        <is>
          <t>Nov-26</t>
        </is>
      </c>
      <c r="N51" s="13" t="inlineStr">
        <is>
          <t>Dec-26</t>
        </is>
      </c>
    </row>
    <row r="52">
      <c r="B52" s="15" t="inlineStr">
        <is>
          <t>Net revenue</t>
        </is>
      </c>
      <c r="C52" s="26">
        <f>'02_Actuals'!C7-'01_Assumptions'!C29</f>
        <v/>
      </c>
      <c r="D52" s="26">
        <f>'02_Actuals'!D7-'01_Assumptions'!D29</f>
        <v/>
      </c>
      <c r="E52" s="26">
        <f>'02_Actuals'!E7-'01_Assumptions'!E29</f>
        <v/>
      </c>
      <c r="F52" s="26">
        <f>'02_Actuals'!F7-'01_Assumptions'!F29</f>
        <v/>
      </c>
      <c r="G52" s="26">
        <f>'02_Actuals'!G7-'01_Assumptions'!G29</f>
        <v/>
      </c>
      <c r="H52" s="26">
        <f>'02_Actuals'!H7-'01_Assumptions'!H29</f>
        <v/>
      </c>
      <c r="I52" s="26">
        <f>'02_Actuals'!I7-'01_Assumptions'!I29</f>
        <v/>
      </c>
      <c r="J52" s="26">
        <f>'02_Actuals'!J7-'01_Assumptions'!J29</f>
        <v/>
      </c>
      <c r="K52" s="26">
        <f>'02_Actuals'!K7-'01_Assumptions'!K29</f>
        <v/>
      </c>
      <c r="L52" s="26">
        <f>'02_Actuals'!L7-'01_Assumptions'!L29</f>
        <v/>
      </c>
      <c r="M52" s="26">
        <f>'02_Actuals'!M7-'01_Assumptions'!M29</f>
        <v/>
      </c>
      <c r="N52" s="26">
        <f>'02_Actuals'!N7-'01_Assumptions'!N29</f>
        <v/>
      </c>
    </row>
    <row r="53">
      <c r="B53" s="15" t="inlineStr">
        <is>
          <t>Gross margin %</t>
        </is>
      </c>
      <c r="C53" s="27">
        <f>'02_Actuals'!C8-'01_Assumptions'!C30</f>
        <v/>
      </c>
      <c r="D53" s="27">
        <f>'02_Actuals'!D8-'01_Assumptions'!D30</f>
        <v/>
      </c>
      <c r="E53" s="27">
        <f>'02_Actuals'!E8-'01_Assumptions'!E30</f>
        <v/>
      </c>
      <c r="F53" s="27">
        <f>'02_Actuals'!F8-'01_Assumptions'!F30</f>
        <v/>
      </c>
      <c r="G53" s="27">
        <f>'02_Actuals'!G8-'01_Assumptions'!G30</f>
        <v/>
      </c>
      <c r="H53" s="27">
        <f>'02_Actuals'!H8-'01_Assumptions'!H30</f>
        <v/>
      </c>
      <c r="I53" s="27">
        <f>'02_Actuals'!I8-'01_Assumptions'!I30</f>
        <v/>
      </c>
      <c r="J53" s="27">
        <f>'02_Actuals'!J8-'01_Assumptions'!J30</f>
        <v/>
      </c>
      <c r="K53" s="27">
        <f>'02_Actuals'!K8-'01_Assumptions'!K30</f>
        <v/>
      </c>
      <c r="L53" s="27">
        <f>'02_Actuals'!L8-'01_Assumptions'!L30</f>
        <v/>
      </c>
      <c r="M53" s="27">
        <f>'02_Actuals'!M8-'01_Assumptions'!M30</f>
        <v/>
      </c>
      <c r="N53" s="27">
        <f>'02_Actuals'!N8-'01_Assumptions'!N30</f>
        <v/>
      </c>
    </row>
    <row r="54">
      <c r="B54" s="15" t="inlineStr">
        <is>
          <t>EBITDA</t>
        </is>
      </c>
      <c r="C54" s="26">
        <f>'02_Actuals'!C9-'01_Assumptions'!C31</f>
        <v/>
      </c>
      <c r="D54" s="26">
        <f>'02_Actuals'!D9-'01_Assumptions'!D31</f>
        <v/>
      </c>
      <c r="E54" s="26">
        <f>'02_Actuals'!E9-'01_Assumptions'!E31</f>
        <v/>
      </c>
      <c r="F54" s="26">
        <f>'02_Actuals'!F9-'01_Assumptions'!F31</f>
        <v/>
      </c>
      <c r="G54" s="26">
        <f>'02_Actuals'!G9-'01_Assumptions'!G31</f>
        <v/>
      </c>
      <c r="H54" s="26">
        <f>'02_Actuals'!H9-'01_Assumptions'!H31</f>
        <v/>
      </c>
      <c r="I54" s="26">
        <f>'02_Actuals'!I9-'01_Assumptions'!I31</f>
        <v/>
      </c>
      <c r="J54" s="26">
        <f>'02_Actuals'!J9-'01_Assumptions'!J31</f>
        <v/>
      </c>
      <c r="K54" s="26">
        <f>'02_Actuals'!K9-'01_Assumptions'!K31</f>
        <v/>
      </c>
      <c r="L54" s="26">
        <f>'02_Actuals'!L9-'01_Assumptions'!L31</f>
        <v/>
      </c>
      <c r="M54" s="26">
        <f>'02_Actuals'!M9-'01_Assumptions'!M31</f>
        <v/>
      </c>
      <c r="N54" s="26">
        <f>'02_Actuals'!N9-'01_Assumptions'!N31</f>
        <v/>
      </c>
    </row>
    <row r="55">
      <c r="B55" s="15" t="inlineStr">
        <is>
          <t>Volume</t>
        </is>
      </c>
      <c r="C55" s="25">
        <f>'02_Actuals'!C10-'01_Assumptions'!C32</f>
        <v/>
      </c>
      <c r="D55" s="25">
        <f>'02_Actuals'!D10-'01_Assumptions'!D32</f>
        <v/>
      </c>
      <c r="E55" s="25">
        <f>'02_Actuals'!E10-'01_Assumptions'!E32</f>
        <v/>
      </c>
      <c r="F55" s="25">
        <f>'02_Actuals'!F10-'01_Assumptions'!F32</f>
        <v/>
      </c>
      <c r="G55" s="25">
        <f>'02_Actuals'!G10-'01_Assumptions'!G32</f>
        <v/>
      </c>
      <c r="H55" s="25">
        <f>'02_Actuals'!H10-'01_Assumptions'!H32</f>
        <v/>
      </c>
      <c r="I55" s="25">
        <f>'02_Actuals'!I10-'01_Assumptions'!I32</f>
        <v/>
      </c>
      <c r="J55" s="25">
        <f>'02_Actuals'!J10-'01_Assumptions'!J32</f>
        <v/>
      </c>
      <c r="K55" s="25">
        <f>'02_Actuals'!K10-'01_Assumptions'!K32</f>
        <v/>
      </c>
      <c r="L55" s="25">
        <f>'02_Actuals'!L10-'01_Assumptions'!L32</f>
        <v/>
      </c>
      <c r="M55" s="25">
        <f>'02_Actuals'!M10-'01_Assumptions'!M32</f>
        <v/>
      </c>
      <c r="N55" s="25">
        <f>'02_Actuals'!N10-'01_Assumptions'!N32</f>
        <v/>
      </c>
    </row>
    <row r="56">
      <c r="B56" s="15" t="inlineStr">
        <is>
          <t>OTIF %</t>
        </is>
      </c>
      <c r="C56" s="27">
        <f>'02_Actuals'!C11-'01_Assumptions'!C33</f>
        <v/>
      </c>
      <c r="D56" s="27">
        <f>'02_Actuals'!D11-'01_Assumptions'!D33</f>
        <v/>
      </c>
      <c r="E56" s="27">
        <f>'02_Actuals'!E11-'01_Assumptions'!E33</f>
        <v/>
      </c>
      <c r="F56" s="27">
        <f>'02_Actuals'!F11-'01_Assumptions'!F33</f>
        <v/>
      </c>
      <c r="G56" s="27">
        <f>'02_Actuals'!G11-'01_Assumptions'!G33</f>
        <v/>
      </c>
      <c r="H56" s="27">
        <f>'02_Actuals'!H11-'01_Assumptions'!H33</f>
        <v/>
      </c>
      <c r="I56" s="27">
        <f>'02_Actuals'!I11-'01_Assumptions'!I33</f>
        <v/>
      </c>
      <c r="J56" s="27">
        <f>'02_Actuals'!J11-'01_Assumptions'!J33</f>
        <v/>
      </c>
      <c r="K56" s="27">
        <f>'02_Actuals'!K11-'01_Assumptions'!K33</f>
        <v/>
      </c>
      <c r="L56" s="27">
        <f>'02_Actuals'!L11-'01_Assumptions'!L33</f>
        <v/>
      </c>
      <c r="M56" s="27">
        <f>'02_Actuals'!M11-'01_Assumptions'!M33</f>
        <v/>
      </c>
      <c r="N56" s="27">
        <f>'02_Actuals'!N11-'01_Assumptions'!N33</f>
        <v/>
      </c>
    </row>
    <row r="57">
      <c r="B57" s="15" t="inlineStr">
        <is>
          <t>Scrap %</t>
        </is>
      </c>
      <c r="C57" s="27">
        <f>'02_Actuals'!C12-'01_Assumptions'!C34</f>
        <v/>
      </c>
      <c r="D57" s="27">
        <f>'02_Actuals'!D12-'01_Assumptions'!D34</f>
        <v/>
      </c>
      <c r="E57" s="27">
        <f>'02_Actuals'!E12-'01_Assumptions'!E34</f>
        <v/>
      </c>
      <c r="F57" s="27">
        <f>'02_Actuals'!F12-'01_Assumptions'!F34</f>
        <v/>
      </c>
      <c r="G57" s="27">
        <f>'02_Actuals'!G12-'01_Assumptions'!G34</f>
        <v/>
      </c>
      <c r="H57" s="27">
        <f>'02_Actuals'!H12-'01_Assumptions'!H34</f>
        <v/>
      </c>
      <c r="I57" s="27">
        <f>'02_Actuals'!I12-'01_Assumptions'!I34</f>
        <v/>
      </c>
      <c r="J57" s="27">
        <f>'02_Actuals'!J12-'01_Assumptions'!J34</f>
        <v/>
      </c>
      <c r="K57" s="27">
        <f>'02_Actuals'!K12-'01_Assumptions'!K34</f>
        <v/>
      </c>
      <c r="L57" s="27">
        <f>'02_Actuals'!L12-'01_Assumptions'!L34</f>
        <v/>
      </c>
      <c r="M57" s="27">
        <f>'02_Actuals'!M12-'01_Assumptions'!M34</f>
        <v/>
      </c>
      <c r="N57" s="27">
        <f>'02_Actuals'!N12-'01_Assumptions'!N34</f>
        <v/>
      </c>
    </row>
    <row r="58">
      <c r="B58" s="15" t="inlineStr">
        <is>
          <t>DSO</t>
        </is>
      </c>
      <c r="C58" s="28">
        <f>'02_Actuals'!C13-'01_Assumptions'!C35</f>
        <v/>
      </c>
      <c r="D58" s="28">
        <f>'02_Actuals'!D13-'01_Assumptions'!D35</f>
        <v/>
      </c>
      <c r="E58" s="28">
        <f>'02_Actuals'!E13-'01_Assumptions'!E35</f>
        <v/>
      </c>
      <c r="F58" s="28">
        <f>'02_Actuals'!F13-'01_Assumptions'!F35</f>
        <v/>
      </c>
      <c r="G58" s="28">
        <f>'02_Actuals'!G13-'01_Assumptions'!G35</f>
        <v/>
      </c>
      <c r="H58" s="28">
        <f>'02_Actuals'!H13-'01_Assumptions'!H35</f>
        <v/>
      </c>
      <c r="I58" s="28">
        <f>'02_Actuals'!I13-'01_Assumptions'!I35</f>
        <v/>
      </c>
      <c r="J58" s="28">
        <f>'02_Actuals'!J13-'01_Assumptions'!J35</f>
        <v/>
      </c>
      <c r="K58" s="28">
        <f>'02_Actuals'!K13-'01_Assumptions'!K35</f>
        <v/>
      </c>
      <c r="L58" s="28">
        <f>'02_Actuals'!L13-'01_Assumptions'!L35</f>
        <v/>
      </c>
      <c r="M58" s="28">
        <f>'02_Actuals'!M13-'01_Assumptions'!M35</f>
        <v/>
      </c>
      <c r="N58" s="28">
        <f>'02_Actuals'!N13-'01_Assumptions'!N35</f>
        <v/>
      </c>
    </row>
    <row r="59">
      <c r="B59" s="15" t="inlineStr">
        <is>
          <t>CCC</t>
        </is>
      </c>
      <c r="C59" s="28">
        <f>'02_Actuals'!C14-'01_Assumptions'!C36</f>
        <v/>
      </c>
      <c r="D59" s="28">
        <f>'02_Actuals'!D14-'01_Assumptions'!D36</f>
        <v/>
      </c>
      <c r="E59" s="28">
        <f>'02_Actuals'!E14-'01_Assumptions'!E36</f>
        <v/>
      </c>
      <c r="F59" s="28">
        <f>'02_Actuals'!F14-'01_Assumptions'!F36</f>
        <v/>
      </c>
      <c r="G59" s="28">
        <f>'02_Actuals'!G14-'01_Assumptions'!G36</f>
        <v/>
      </c>
      <c r="H59" s="28">
        <f>'02_Actuals'!H14-'01_Assumptions'!H36</f>
        <v/>
      </c>
      <c r="I59" s="28">
        <f>'02_Actuals'!I14-'01_Assumptions'!I36</f>
        <v/>
      </c>
      <c r="J59" s="28">
        <f>'02_Actuals'!J14-'01_Assumptions'!J36</f>
        <v/>
      </c>
      <c r="K59" s="28">
        <f>'02_Actuals'!K14-'01_Assumptions'!K36</f>
        <v/>
      </c>
      <c r="L59" s="28">
        <f>'02_Actuals'!L14-'01_Assumptions'!L36</f>
        <v/>
      </c>
      <c r="M59" s="28">
        <f>'02_Actuals'!M14-'01_Assumptions'!M36</f>
        <v/>
      </c>
      <c r="N59" s="28">
        <f>'02_Actuals'!N14-'01_Assumptions'!N36</f>
        <v/>
      </c>
    </row>
    <row r="60">
      <c r="B60" s="15" t="inlineStr">
        <is>
          <t>Headcount</t>
        </is>
      </c>
      <c r="C60" s="28">
        <f>'02_Actuals'!C15-'01_Assumptions'!C37</f>
        <v/>
      </c>
      <c r="D60" s="28">
        <f>'02_Actuals'!D15-'01_Assumptions'!D37</f>
        <v/>
      </c>
      <c r="E60" s="28">
        <f>'02_Actuals'!E15-'01_Assumptions'!E37</f>
        <v/>
      </c>
      <c r="F60" s="28">
        <f>'02_Actuals'!F15-'01_Assumptions'!F37</f>
        <v/>
      </c>
      <c r="G60" s="28">
        <f>'02_Actuals'!G15-'01_Assumptions'!G37</f>
        <v/>
      </c>
      <c r="H60" s="28">
        <f>'02_Actuals'!H15-'01_Assumptions'!H37</f>
        <v/>
      </c>
      <c r="I60" s="28">
        <f>'02_Actuals'!I15-'01_Assumptions'!I37</f>
        <v/>
      </c>
      <c r="J60" s="28">
        <f>'02_Actuals'!J15-'01_Assumptions'!J37</f>
        <v/>
      </c>
      <c r="K60" s="28">
        <f>'02_Actuals'!K15-'01_Assumptions'!K37</f>
        <v/>
      </c>
      <c r="L60" s="28">
        <f>'02_Actuals'!L15-'01_Assumptions'!L37</f>
        <v/>
      </c>
      <c r="M60" s="28">
        <f>'02_Actuals'!M15-'01_Assumptions'!M37</f>
        <v/>
      </c>
      <c r="N60" s="28">
        <f>'02_Actuals'!N15-'01_Assumptions'!N37</f>
        <v/>
      </c>
    </row>
    <row r="61">
      <c r="B61" s="15" t="inlineStr">
        <is>
          <t>Attrition % (ann.)</t>
        </is>
      </c>
      <c r="C61" s="27">
        <f>'02_Actuals'!C16-'01_Assumptions'!C38</f>
        <v/>
      </c>
      <c r="D61" s="27">
        <f>'02_Actuals'!D16-'01_Assumptions'!D38</f>
        <v/>
      </c>
      <c r="E61" s="27">
        <f>'02_Actuals'!E16-'01_Assumptions'!E38</f>
        <v/>
      </c>
      <c r="F61" s="27">
        <f>'02_Actuals'!F16-'01_Assumptions'!F38</f>
        <v/>
      </c>
      <c r="G61" s="27">
        <f>'02_Actuals'!G16-'01_Assumptions'!G38</f>
        <v/>
      </c>
      <c r="H61" s="27">
        <f>'02_Actuals'!H16-'01_Assumptions'!H38</f>
        <v/>
      </c>
      <c r="I61" s="27">
        <f>'02_Actuals'!I16-'01_Assumptions'!I38</f>
        <v/>
      </c>
      <c r="J61" s="27">
        <f>'02_Actuals'!J16-'01_Assumptions'!J38</f>
        <v/>
      </c>
      <c r="K61" s="27">
        <f>'02_Actuals'!K16-'01_Assumptions'!K38</f>
        <v/>
      </c>
      <c r="L61" s="27">
        <f>'02_Actuals'!L16-'01_Assumptions'!L38</f>
        <v/>
      </c>
      <c r="M61" s="27">
        <f>'02_Actuals'!M16-'01_Assumptions'!M38</f>
        <v/>
      </c>
      <c r="N61" s="27">
        <f>'02_Actuals'!N16-'01_Assumptions'!N38</f>
        <v/>
      </c>
    </row>
    <row r="62">
      <c r="B62" s="15" t="inlineStr">
        <is>
          <t>Operating cash flow</t>
        </is>
      </c>
      <c r="C62" s="26">
        <f>'02_Actuals'!C17-'01_Assumptions'!C39</f>
        <v/>
      </c>
      <c r="D62" s="26">
        <f>'02_Actuals'!D17-'01_Assumptions'!D39</f>
        <v/>
      </c>
      <c r="E62" s="26">
        <f>'02_Actuals'!E17-'01_Assumptions'!E39</f>
        <v/>
      </c>
      <c r="F62" s="26">
        <f>'02_Actuals'!F17-'01_Assumptions'!F39</f>
        <v/>
      </c>
      <c r="G62" s="26">
        <f>'02_Actuals'!G17-'01_Assumptions'!G39</f>
        <v/>
      </c>
      <c r="H62" s="26">
        <f>'02_Actuals'!H17-'01_Assumptions'!H39</f>
        <v/>
      </c>
      <c r="I62" s="26">
        <f>'02_Actuals'!I17-'01_Assumptions'!I39</f>
        <v/>
      </c>
      <c r="J62" s="26">
        <f>'02_Actuals'!J17-'01_Assumptions'!J39</f>
        <v/>
      </c>
      <c r="K62" s="26">
        <f>'02_Actuals'!K17-'01_Assumptions'!K39</f>
        <v/>
      </c>
      <c r="L62" s="26">
        <f>'02_Actuals'!L17-'01_Assumptions'!L39</f>
        <v/>
      </c>
      <c r="M62" s="26">
        <f>'02_Actuals'!M17-'01_Assumptions'!M39</f>
        <v/>
      </c>
      <c r="N62" s="26">
        <f>'02_Actuals'!N17-'01_Assumptions'!N39</f>
        <v/>
      </c>
    </row>
    <row r="63">
      <c r="B63" s="15" t="inlineStr">
        <is>
          <t>SG&amp;A % of sales</t>
        </is>
      </c>
      <c r="C63" s="27">
        <f>'02_Actuals'!C18-'01_Assumptions'!C40</f>
        <v/>
      </c>
      <c r="D63" s="27">
        <f>'02_Actuals'!D18-'01_Assumptions'!D40</f>
        <v/>
      </c>
      <c r="E63" s="27">
        <f>'02_Actuals'!E18-'01_Assumptions'!E40</f>
        <v/>
      </c>
      <c r="F63" s="27">
        <f>'02_Actuals'!F18-'01_Assumptions'!F40</f>
        <v/>
      </c>
      <c r="G63" s="27">
        <f>'02_Actuals'!G18-'01_Assumptions'!G40</f>
        <v/>
      </c>
      <c r="H63" s="27">
        <f>'02_Actuals'!H18-'01_Assumptions'!H40</f>
        <v/>
      </c>
      <c r="I63" s="27">
        <f>'02_Actuals'!I18-'01_Assumptions'!I40</f>
        <v/>
      </c>
      <c r="J63" s="27">
        <f>'02_Actuals'!J18-'01_Assumptions'!J40</f>
        <v/>
      </c>
      <c r="K63" s="27">
        <f>'02_Actuals'!K18-'01_Assumptions'!K40</f>
        <v/>
      </c>
      <c r="L63" s="27">
        <f>'02_Actuals'!L18-'01_Assumptions'!L40</f>
        <v/>
      </c>
      <c r="M63" s="27">
        <f>'02_Actuals'!M18-'01_Assumptions'!M40</f>
        <v/>
      </c>
      <c r="N63" s="27">
        <f>'02_Actuals'!N18-'01_Assumptions'!N40</f>
        <v/>
      </c>
    </row>
    <row r="65">
      <c r="B65" s="11" t="inlineStr">
        <is>
          <t>YoY revenue and volume vs FY25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</row>
    <row r="66">
      <c r="C66" s="13" t="inlineStr">
        <is>
          <t>Jan-26</t>
        </is>
      </c>
      <c r="D66" s="13" t="inlineStr">
        <is>
          <t>Feb-26</t>
        </is>
      </c>
      <c r="E66" s="13" t="inlineStr">
        <is>
          <t>Mar-26</t>
        </is>
      </c>
      <c r="F66" s="13" t="inlineStr">
        <is>
          <t>Apr-26</t>
        </is>
      </c>
      <c r="G66" s="13" t="inlineStr">
        <is>
          <t>May-26</t>
        </is>
      </c>
      <c r="H66" s="13" t="inlineStr">
        <is>
          <t>Jun-26</t>
        </is>
      </c>
      <c r="I66" s="13" t="inlineStr">
        <is>
          <t>Jul-26</t>
        </is>
      </c>
      <c r="J66" s="13" t="inlineStr">
        <is>
          <t>Aug-26</t>
        </is>
      </c>
      <c r="K66" s="13" t="inlineStr">
        <is>
          <t>Sep-26</t>
        </is>
      </c>
      <c r="L66" s="13" t="inlineStr">
        <is>
          <t>Oct-26</t>
        </is>
      </c>
      <c r="M66" s="13" t="inlineStr">
        <is>
          <t>Nov-26</t>
        </is>
      </c>
      <c r="N66" s="13" t="inlineStr">
        <is>
          <t>Dec-26</t>
        </is>
      </c>
    </row>
    <row r="67">
      <c r="B67" t="inlineStr">
        <is>
          <t>Revenue YoY %</t>
        </is>
      </c>
      <c r="C67" s="27">
        <f>IF('01_Assumptions'!C44=0,"—",'02_Actuals'!C7/'01_Assumptions'!C44-1)</f>
        <v/>
      </c>
      <c r="D67" s="27">
        <f>IF('01_Assumptions'!D44=0,"—",'02_Actuals'!D7/'01_Assumptions'!D44-1)</f>
        <v/>
      </c>
      <c r="E67" s="27">
        <f>IF('01_Assumptions'!E44=0,"—",'02_Actuals'!E7/'01_Assumptions'!E44-1)</f>
        <v/>
      </c>
      <c r="F67" s="27">
        <f>IF('01_Assumptions'!F44=0,"—",'02_Actuals'!F7/'01_Assumptions'!F44-1)</f>
        <v/>
      </c>
      <c r="G67" s="27">
        <f>IF('01_Assumptions'!G44=0,"—",'02_Actuals'!G7/'01_Assumptions'!G44-1)</f>
        <v/>
      </c>
      <c r="H67" s="27">
        <f>IF('01_Assumptions'!H44=0,"—",'02_Actuals'!H7/'01_Assumptions'!H44-1)</f>
        <v/>
      </c>
      <c r="I67" s="27">
        <f>IF('01_Assumptions'!I44=0,"—",'02_Actuals'!I7/'01_Assumptions'!I44-1)</f>
        <v/>
      </c>
      <c r="J67" s="27">
        <f>IF('01_Assumptions'!J44=0,"—",'02_Actuals'!J7/'01_Assumptions'!J44-1)</f>
        <v/>
      </c>
      <c r="K67" s="27">
        <f>IF('01_Assumptions'!K44=0,"—",'02_Actuals'!K7/'01_Assumptions'!K44-1)</f>
        <v/>
      </c>
      <c r="L67" s="27">
        <f>IF('01_Assumptions'!L44=0,"—",'02_Actuals'!L7/'01_Assumptions'!L44-1)</f>
        <v/>
      </c>
      <c r="M67" s="27">
        <f>IF('01_Assumptions'!M44=0,"—",'02_Actuals'!M7/'01_Assumptions'!M44-1)</f>
        <v/>
      </c>
      <c r="N67" s="27">
        <f>IF('01_Assumptions'!N44=0,"—",'02_Actuals'!N7/'01_Assumptions'!N44-1)</f>
        <v/>
      </c>
    </row>
    <row r="68">
      <c r="B68" t="inlineStr">
        <is>
          <t>Volume YoY %</t>
        </is>
      </c>
      <c r="C68" s="27">
        <f>IF('01_Assumptions'!C45=0,"—",'02_Actuals'!C10/'01_Assumptions'!C45-1)</f>
        <v/>
      </c>
      <c r="D68" s="27">
        <f>IF('01_Assumptions'!D45=0,"—",'02_Actuals'!D10/'01_Assumptions'!D45-1)</f>
        <v/>
      </c>
      <c r="E68" s="27">
        <f>IF('01_Assumptions'!E45=0,"—",'02_Actuals'!E10/'01_Assumptions'!E45-1)</f>
        <v/>
      </c>
      <c r="F68" s="27">
        <f>IF('01_Assumptions'!F45=0,"—",'02_Actuals'!F10/'01_Assumptions'!F45-1)</f>
        <v/>
      </c>
      <c r="G68" s="27">
        <f>IF('01_Assumptions'!G45=0,"—",'02_Actuals'!G10/'01_Assumptions'!G45-1)</f>
        <v/>
      </c>
      <c r="H68" s="27">
        <f>IF('01_Assumptions'!H45=0,"—",'02_Actuals'!H10/'01_Assumptions'!H45-1)</f>
        <v/>
      </c>
      <c r="I68" s="27">
        <f>IF('01_Assumptions'!I45=0,"—",'02_Actuals'!I10/'01_Assumptions'!I45-1)</f>
        <v/>
      </c>
      <c r="J68" s="27">
        <f>IF('01_Assumptions'!J45=0,"—",'02_Actuals'!J10/'01_Assumptions'!J45-1)</f>
        <v/>
      </c>
      <c r="K68" s="27">
        <f>IF('01_Assumptions'!K45=0,"—",'02_Actuals'!K10/'01_Assumptions'!K45-1)</f>
        <v/>
      </c>
      <c r="L68" s="27">
        <f>IF('01_Assumptions'!L45=0,"—",'02_Actuals'!L10/'01_Assumptions'!L45-1)</f>
        <v/>
      </c>
      <c r="M68" s="27">
        <f>IF('01_Assumptions'!M45=0,"—",'02_Actuals'!M10/'01_Assumptions'!M45-1)</f>
        <v/>
      </c>
      <c r="N68" s="27">
        <f>IF('01_Assumptions'!N45=0,"—",'02_Actuals'!N10/'01_Assumptions'!N45-1)</f>
        <v/>
      </c>
    </row>
    <row r="70">
      <c r="B70" s="11" t="inlineStr">
        <is>
          <t>In-cell trend bars (revenue actual)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</row>
    <row r="71">
      <c r="C71" s="13" t="inlineStr">
        <is>
          <t>Jan-26</t>
        </is>
      </c>
      <c r="D71" s="13" t="inlineStr">
        <is>
          <t>Feb-26</t>
        </is>
      </c>
      <c r="E71" s="13" t="inlineStr">
        <is>
          <t>Mar-26</t>
        </is>
      </c>
      <c r="F71" s="13" t="inlineStr">
        <is>
          <t>Apr-26</t>
        </is>
      </c>
      <c r="G71" s="13" t="inlineStr">
        <is>
          <t>May-26</t>
        </is>
      </c>
      <c r="H71" s="13" t="inlineStr">
        <is>
          <t>Jun-26</t>
        </is>
      </c>
      <c r="I71" s="13" t="inlineStr">
        <is>
          <t>Jul-26</t>
        </is>
      </c>
      <c r="J71" s="13" t="inlineStr">
        <is>
          <t>Aug-26</t>
        </is>
      </c>
      <c r="K71" s="13" t="inlineStr">
        <is>
          <t>Sep-26</t>
        </is>
      </c>
      <c r="L71" s="13" t="inlineStr">
        <is>
          <t>Oct-26</t>
        </is>
      </c>
      <c r="M71" s="13" t="inlineStr">
        <is>
          <t>Nov-26</t>
        </is>
      </c>
      <c r="N71" s="13" t="inlineStr">
        <is>
          <t>Dec-26</t>
        </is>
      </c>
    </row>
    <row r="72">
      <c r="B72" t="inlineStr">
        <is>
          <t>Revenue bar</t>
        </is>
      </c>
      <c r="C72" s="32">
        <f>REPT("█",MAX(0,ROUND(C7/8000,0)))</f>
        <v/>
      </c>
      <c r="D72" s="32">
        <f>REPT("█",MAX(0,ROUND(D7/8000,0)))</f>
        <v/>
      </c>
      <c r="E72" s="32">
        <f>REPT("█",MAX(0,ROUND(E7/8000,0)))</f>
        <v/>
      </c>
      <c r="F72" s="32">
        <f>REPT("█",MAX(0,ROUND(F7/8000,0)))</f>
        <v/>
      </c>
      <c r="G72" s="32">
        <f>REPT("█",MAX(0,ROUND(G7/8000,0)))</f>
        <v/>
      </c>
      <c r="H72" s="32">
        <f>REPT("█",MAX(0,ROUND(H7/8000,0)))</f>
        <v/>
      </c>
      <c r="I72" s="32">
        <f>REPT("█",MAX(0,ROUND(I7/8000,0)))</f>
        <v/>
      </c>
      <c r="J72" s="32">
        <f>REPT("█",MAX(0,ROUND(J7/8000,0)))</f>
        <v/>
      </c>
      <c r="K72" s="32">
        <f>REPT("█",MAX(0,ROUND(K7/8000,0)))</f>
        <v/>
      </c>
      <c r="L72" s="32">
        <f>REPT("█",MAX(0,ROUND(L7/8000,0)))</f>
        <v/>
      </c>
      <c r="M72" s="32">
        <f>REPT("█",MAX(0,ROUND(M7/8000,0)))</f>
        <v/>
      </c>
      <c r="N72" s="32">
        <f>REPT("█",MAX(0,ROUND(N7/8000,0)))</f>
        <v/>
      </c>
    </row>
    <row r="73">
      <c r="B73" t="inlineStr">
        <is>
          <t>OTIF bar</t>
        </is>
      </c>
      <c r="C73" s="32">
        <f>REPT("█",MAX(0,ROUND(C11*40,0)))</f>
        <v/>
      </c>
      <c r="D73" s="32">
        <f>REPT("█",MAX(0,ROUND(D11*40,0)))</f>
        <v/>
      </c>
      <c r="E73" s="32">
        <f>REPT("█",MAX(0,ROUND(E11*40,0)))</f>
        <v/>
      </c>
      <c r="F73" s="32">
        <f>REPT("█",MAX(0,ROUND(F11*40,0)))</f>
        <v/>
      </c>
      <c r="G73" s="32">
        <f>REPT("█",MAX(0,ROUND(G11*40,0)))</f>
        <v/>
      </c>
      <c r="H73" s="32">
        <f>REPT("█",MAX(0,ROUND(H11*40,0)))</f>
        <v/>
      </c>
      <c r="I73" s="32">
        <f>REPT("█",MAX(0,ROUND(I11*40,0)))</f>
        <v/>
      </c>
      <c r="J73" s="32">
        <f>REPT("█",MAX(0,ROUND(J11*40,0)))</f>
        <v/>
      </c>
      <c r="K73" s="32">
        <f>REPT("█",MAX(0,ROUND(K11*40,0)))</f>
        <v/>
      </c>
      <c r="L73" s="32">
        <f>REPT("█",MAX(0,ROUND(L11*40,0)))</f>
        <v/>
      </c>
      <c r="M73" s="32">
        <f>REPT("█",MAX(0,ROUND(M11*40,0)))</f>
        <v/>
      </c>
      <c r="N73" s="32">
        <f>REPT("█",MAX(0,ROUND(N11*40,0)))</f>
        <v/>
      </c>
    </row>
    <row r="74">
      <c r="B74" t="inlineStr">
        <is>
          <t>CCC bar</t>
        </is>
      </c>
      <c r="C74" s="32">
        <f>REPT("█",MAX(0,ROUND(C14/8,0)))</f>
        <v/>
      </c>
      <c r="D74" s="32">
        <f>REPT("█",MAX(0,ROUND(D14/8,0)))</f>
        <v/>
      </c>
      <c r="E74" s="32">
        <f>REPT("█",MAX(0,ROUND(E14/8,0)))</f>
        <v/>
      </c>
      <c r="F74" s="32">
        <f>REPT("█",MAX(0,ROUND(F14/8,0)))</f>
        <v/>
      </c>
      <c r="G74" s="32">
        <f>REPT("█",MAX(0,ROUND(G14/8,0)))</f>
        <v/>
      </c>
      <c r="H74" s="32">
        <f>REPT("█",MAX(0,ROUND(H14/8,0)))</f>
        <v/>
      </c>
      <c r="I74" s="32">
        <f>REPT("█",MAX(0,ROUND(I14/8,0)))</f>
        <v/>
      </c>
      <c r="J74" s="32">
        <f>REPT("█",MAX(0,ROUND(J14/8,0)))</f>
        <v/>
      </c>
      <c r="K74" s="32">
        <f>REPT("█",MAX(0,ROUND(K14/8,0)))</f>
        <v/>
      </c>
      <c r="L74" s="32">
        <f>REPT("█",MAX(0,ROUND(L14/8,0)))</f>
        <v/>
      </c>
      <c r="M74" s="32">
        <f>REPT("█",MAX(0,ROUND(M14/8,0)))</f>
        <v/>
      </c>
      <c r="N74" s="32">
        <f>REPT("█",MAX(0,ROUND(N14/8,0)))</f>
        <v/>
      </c>
    </row>
    <row r="76">
      <c r="B76" s="10" t="inlineStr">
        <is>
          <t>Revenue bar is scaled by $8m; OTIF by 2.5 pts per block; CCC by 8 days per block. Cosmetic only.</t>
        </is>
      </c>
    </row>
  </sheetData>
  <pageMargins left="0.75" right="0.75" top="1" bottom="1" header="0.5" footer="0.5"/>
  <pageSetup orientation="landscape" paperSize="3" fitToHeight="0" fitToWidth="1"/>
  <headerFooter>
    <oddHeader/>
    <oddFooter>&amp;LNorthline Consumer Products  |  fictional sample&amp;RPage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2:N4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2" customWidth="1" min="4" max="4"/>
    <col width="12" customWidth="1" min="5" max="5"/>
    <col width="20" customWidth="1" min="6" max="6"/>
    <col width="14" customWidth="1" min="7" max="7"/>
    <col width="12" customWidth="1" min="8" max="8"/>
    <col width="12" customWidth="1" min="9" max="9"/>
    <col width="20" customWidth="1" min="10" max="10"/>
    <col width="14" customWidth="1" min="11" max="11"/>
    <col width="12" customWidth="1" min="12" max="12"/>
    <col width="14" customWidth="1" min="13" max="13"/>
    <col width="14" customWidth="1" min="14" max="14"/>
  </cols>
  <sheetData>
    <row r="2">
      <c r="B2" s="1" t="inlineStr">
        <is>
          <t>KPI dashboard</t>
        </is>
      </c>
    </row>
    <row r="3">
      <c r="B3" t="inlineStr">
        <is>
          <t>As-of month</t>
        </is>
      </c>
      <c r="C3" s="29">
        <f>'01_Assumptions'!D5</f>
        <v/>
      </c>
      <c r="E3" s="10" t="inlineStr">
        <is>
          <t>Tiles pull the as-of month from the scorecard. RAG is a formula.</t>
        </is>
      </c>
    </row>
    <row r="5">
      <c r="B5" s="33" t="inlineStr">
        <is>
          <t>Net revenue</t>
        </is>
      </c>
      <c r="C5" s="34" t="n"/>
      <c r="D5" s="34" t="n"/>
      <c r="F5" s="33" t="inlineStr">
        <is>
          <t>EBITDA</t>
        </is>
      </c>
      <c r="G5" s="34" t="n"/>
      <c r="H5" s="34" t="n"/>
      <c r="J5" s="33" t="inlineStr">
        <is>
          <t>OTIF %</t>
        </is>
      </c>
      <c r="K5" s="34" t="n"/>
      <c r="L5" s="34" t="n"/>
    </row>
    <row r="6">
      <c r="B6" s="35" t="inlineStr">
        <is>
          <t>Actual</t>
        </is>
      </c>
      <c r="C6" s="19">
        <f>'03_Scorecard'!C8</f>
        <v/>
      </c>
      <c r="D6" s="30">
        <f>'03_Scorecard'!G8</f>
        <v/>
      </c>
      <c r="F6" s="35" t="inlineStr">
        <is>
          <t>Actual</t>
        </is>
      </c>
      <c r="G6" s="19">
        <f>'03_Scorecard'!C10</f>
        <v/>
      </c>
      <c r="H6" s="30">
        <f>'03_Scorecard'!G10</f>
        <v/>
      </c>
      <c r="J6" s="35" t="inlineStr">
        <is>
          <t>Actual</t>
        </is>
      </c>
      <c r="K6" s="20">
        <f>'03_Scorecard'!C12</f>
        <v/>
      </c>
      <c r="L6" s="30">
        <f>'03_Scorecard'!G12</f>
        <v/>
      </c>
    </row>
    <row r="7">
      <c r="B7" s="35" t="inlineStr">
        <is>
          <t>Target</t>
        </is>
      </c>
      <c r="C7" s="26">
        <f>'03_Scorecard'!D8</f>
        <v/>
      </c>
      <c r="F7" s="35" t="inlineStr">
        <is>
          <t>Target</t>
        </is>
      </c>
      <c r="G7" s="26">
        <f>'03_Scorecard'!D10</f>
        <v/>
      </c>
      <c r="J7" s="35" t="inlineStr">
        <is>
          <t>Target</t>
        </is>
      </c>
      <c r="K7" s="27">
        <f>'03_Scorecard'!D12</f>
        <v/>
      </c>
    </row>
    <row r="8">
      <c r="B8" s="35" t="inlineStr">
        <is>
          <t>Var / YTD RAG</t>
        </is>
      </c>
      <c r="C8" s="26">
        <f>'03_Scorecard'!E8</f>
        <v/>
      </c>
      <c r="D8" s="30">
        <f>'03_Scorecard'!K8</f>
        <v/>
      </c>
      <c r="F8" s="35" t="inlineStr">
        <is>
          <t>Var / YTD RAG</t>
        </is>
      </c>
      <c r="G8" s="26">
        <f>'03_Scorecard'!E10</f>
        <v/>
      </c>
      <c r="H8" s="30">
        <f>'03_Scorecard'!K10</f>
        <v/>
      </c>
      <c r="J8" s="35" t="inlineStr">
        <is>
          <t>Var / YTD RAG</t>
        </is>
      </c>
      <c r="K8" s="27">
        <f>'03_Scorecard'!E12</f>
        <v/>
      </c>
      <c r="L8" s="30">
        <f>'03_Scorecard'!K12</f>
        <v/>
      </c>
    </row>
    <row r="11">
      <c r="B11" s="33" t="inlineStr">
        <is>
          <t>CCC (days)</t>
        </is>
      </c>
      <c r="C11" s="34" t="n"/>
      <c r="D11" s="34" t="n"/>
      <c r="F11" s="33" t="inlineStr">
        <is>
          <t>Headcount</t>
        </is>
      </c>
      <c r="G11" s="34" t="n"/>
      <c r="H11" s="34" t="n"/>
      <c r="J11" s="33" t="inlineStr">
        <is>
          <t>Op. cash flow</t>
        </is>
      </c>
      <c r="K11" s="34" t="n"/>
      <c r="L11" s="34" t="n"/>
    </row>
    <row r="12">
      <c r="B12" s="35" t="inlineStr">
        <is>
          <t>Actual</t>
        </is>
      </c>
      <c r="C12" s="24">
        <f>'03_Scorecard'!C15</f>
        <v/>
      </c>
      <c r="D12" s="30">
        <f>'03_Scorecard'!G15</f>
        <v/>
      </c>
      <c r="F12" s="35" t="inlineStr">
        <is>
          <t>Actual</t>
        </is>
      </c>
      <c r="G12" s="24">
        <f>'03_Scorecard'!C16</f>
        <v/>
      </c>
      <c r="H12" s="30">
        <f>'03_Scorecard'!G16</f>
        <v/>
      </c>
      <c r="J12" s="35" t="inlineStr">
        <is>
          <t>Actual</t>
        </is>
      </c>
      <c r="K12" s="19">
        <f>'03_Scorecard'!C18</f>
        <v/>
      </c>
      <c r="L12" s="30">
        <f>'03_Scorecard'!G18</f>
        <v/>
      </c>
    </row>
    <row r="13">
      <c r="B13" s="35" t="inlineStr">
        <is>
          <t>Target</t>
        </is>
      </c>
      <c r="C13" s="28">
        <f>'03_Scorecard'!D15</f>
        <v/>
      </c>
      <c r="F13" s="35" t="inlineStr">
        <is>
          <t>Target</t>
        </is>
      </c>
      <c r="G13" s="28">
        <f>'03_Scorecard'!D16</f>
        <v/>
      </c>
      <c r="J13" s="35" t="inlineStr">
        <is>
          <t>Target</t>
        </is>
      </c>
      <c r="K13" s="26">
        <f>'03_Scorecard'!D18</f>
        <v/>
      </c>
    </row>
    <row r="14">
      <c r="B14" s="35" t="inlineStr">
        <is>
          <t>Var / YTD RAG</t>
        </is>
      </c>
      <c r="C14" s="28">
        <f>'03_Scorecard'!E15</f>
        <v/>
      </c>
      <c r="D14" s="30">
        <f>'03_Scorecard'!K15</f>
        <v/>
      </c>
      <c r="F14" s="35" t="inlineStr">
        <is>
          <t>Var / YTD RAG</t>
        </is>
      </c>
      <c r="G14" s="28">
        <f>'03_Scorecard'!E16</f>
        <v/>
      </c>
      <c r="H14" s="30">
        <f>'03_Scorecard'!K16</f>
        <v/>
      </c>
      <c r="J14" s="35" t="inlineStr">
        <is>
          <t>Var / YTD RAG</t>
        </is>
      </c>
      <c r="K14" s="26">
        <f>'03_Scorecard'!E18</f>
        <v/>
      </c>
      <c r="L14" s="30">
        <f>'03_Scorecard'!K18</f>
        <v/>
      </c>
    </row>
    <row r="16">
      <c r="B16" s="11" t="inlineStr">
        <is>
          <t>Full as-of RAG strip</t>
        </is>
      </c>
    </row>
    <row r="17" ht="28" customHeight="1">
      <c r="C17" s="36" t="inlineStr">
        <is>
          <t>Net revenue</t>
        </is>
      </c>
      <c r="D17" s="36" t="inlineStr">
        <is>
          <t>Gross margin %</t>
        </is>
      </c>
      <c r="E17" s="36" t="inlineStr">
        <is>
          <t>EBITDA</t>
        </is>
      </c>
      <c r="F17" s="36" t="inlineStr">
        <is>
          <t>Volume</t>
        </is>
      </c>
      <c r="G17" s="36" t="inlineStr">
        <is>
          <t>OTIF %</t>
        </is>
      </c>
      <c r="H17" s="36" t="inlineStr">
        <is>
          <t>Scrap %</t>
        </is>
      </c>
      <c r="I17" s="36" t="inlineStr">
        <is>
          <t>DSO</t>
        </is>
      </c>
      <c r="J17" s="36" t="inlineStr">
        <is>
          <t>CCC</t>
        </is>
      </c>
      <c r="K17" s="36" t="inlineStr">
        <is>
          <t>Headcount</t>
        </is>
      </c>
      <c r="L17" s="36" t="inlineStr">
        <is>
          <t>Attrition % (ann.)</t>
        </is>
      </c>
      <c r="M17" s="36" t="inlineStr">
        <is>
          <t>Operating cash flow</t>
        </is>
      </c>
      <c r="N17" s="36" t="inlineStr">
        <is>
          <t>SG&amp;A % of sales</t>
        </is>
      </c>
    </row>
    <row r="18">
      <c r="C18" s="30">
        <f>'03_Scorecard'!G8</f>
        <v/>
      </c>
      <c r="D18" s="30">
        <f>'03_Scorecard'!G9</f>
        <v/>
      </c>
      <c r="E18" s="30">
        <f>'03_Scorecard'!G10</f>
        <v/>
      </c>
      <c r="F18" s="30">
        <f>'03_Scorecard'!G11</f>
        <v/>
      </c>
      <c r="G18" s="30">
        <f>'03_Scorecard'!G12</f>
        <v/>
      </c>
      <c r="H18" s="30">
        <f>'03_Scorecard'!G13</f>
        <v/>
      </c>
      <c r="I18" s="30">
        <f>'03_Scorecard'!G14</f>
        <v/>
      </c>
      <c r="J18" s="30">
        <f>'03_Scorecard'!G15</f>
        <v/>
      </c>
      <c r="K18" s="30">
        <f>'03_Scorecard'!G16</f>
        <v/>
      </c>
      <c r="L18" s="30">
        <f>'03_Scorecard'!G17</f>
        <v/>
      </c>
      <c r="M18" s="30">
        <f>'03_Scorecard'!G18</f>
        <v/>
      </c>
      <c r="N18" s="30">
        <f>'03_Scorecard'!G19</f>
        <v/>
      </c>
    </row>
    <row r="20">
      <c r="B20" s="2" t="inlineStr">
        <is>
          <t>Chart data</t>
        </is>
      </c>
    </row>
    <row r="21">
      <c r="B21" s="13" t="inlineStr">
        <is>
          <t>Metric</t>
        </is>
      </c>
      <c r="C21" s="13" t="inlineStr">
        <is>
          <t>Jan-26</t>
        </is>
      </c>
      <c r="D21" s="13" t="inlineStr">
        <is>
          <t>Feb-26</t>
        </is>
      </c>
      <c r="E21" s="13" t="inlineStr">
        <is>
          <t>Mar-26</t>
        </is>
      </c>
      <c r="F21" s="13" t="inlineStr">
        <is>
          <t>Apr-26</t>
        </is>
      </c>
      <c r="G21" s="13" t="inlineStr">
        <is>
          <t>May-26</t>
        </is>
      </c>
      <c r="H21" s="13" t="inlineStr">
        <is>
          <t>Jun-26</t>
        </is>
      </c>
      <c r="I21" s="13" t="inlineStr">
        <is>
          <t>Jul-26</t>
        </is>
      </c>
      <c r="J21" s="13" t="inlineStr">
        <is>
          <t>Aug-26</t>
        </is>
      </c>
      <c r="K21" s="13" t="inlineStr">
        <is>
          <t>Sep-26</t>
        </is>
      </c>
      <c r="L21" s="13" t="inlineStr">
        <is>
          <t>Oct-26</t>
        </is>
      </c>
      <c r="M21" s="13" t="inlineStr">
        <is>
          <t>Nov-26</t>
        </is>
      </c>
      <c r="N21" s="13" t="inlineStr">
        <is>
          <t>Dec-26</t>
        </is>
      </c>
    </row>
    <row r="22">
      <c r="B22" t="inlineStr">
        <is>
          <t>Revenue actual</t>
        </is>
      </c>
      <c r="C22" s="26">
        <f>'02_Actuals'!C7</f>
        <v/>
      </c>
      <c r="D22" s="26">
        <f>'02_Actuals'!D7</f>
        <v/>
      </c>
      <c r="E22" s="26">
        <f>'02_Actuals'!E7</f>
        <v/>
      </c>
      <c r="F22" s="26">
        <f>'02_Actuals'!F7</f>
        <v/>
      </c>
      <c r="G22" s="26">
        <f>'02_Actuals'!G7</f>
        <v/>
      </c>
      <c r="H22" s="26">
        <f>'02_Actuals'!H7</f>
        <v/>
      </c>
      <c r="I22" s="26">
        <f>'02_Actuals'!I7</f>
        <v/>
      </c>
      <c r="J22" s="26">
        <f>'02_Actuals'!J7</f>
        <v/>
      </c>
      <c r="K22" s="26">
        <f>'02_Actuals'!K7</f>
        <v/>
      </c>
      <c r="L22" s="26">
        <f>'02_Actuals'!L7</f>
        <v/>
      </c>
      <c r="M22" s="26">
        <f>'02_Actuals'!M7</f>
        <v/>
      </c>
      <c r="N22" s="26">
        <f>'02_Actuals'!N7</f>
        <v/>
      </c>
    </row>
    <row r="23">
      <c r="B23" t="inlineStr">
        <is>
          <t>Revenue target</t>
        </is>
      </c>
      <c r="C23" s="26">
        <f>'01_Assumptions'!C29</f>
        <v/>
      </c>
      <c r="D23" s="26">
        <f>'01_Assumptions'!D29</f>
        <v/>
      </c>
      <c r="E23" s="26">
        <f>'01_Assumptions'!E29</f>
        <v/>
      </c>
      <c r="F23" s="26">
        <f>'01_Assumptions'!F29</f>
        <v/>
      </c>
      <c r="G23" s="26">
        <f>'01_Assumptions'!G29</f>
        <v/>
      </c>
      <c r="H23" s="26">
        <f>'01_Assumptions'!H29</f>
        <v/>
      </c>
      <c r="I23" s="26">
        <f>'01_Assumptions'!I29</f>
        <v/>
      </c>
      <c r="J23" s="26">
        <f>'01_Assumptions'!J29</f>
        <v/>
      </c>
      <c r="K23" s="26">
        <f>'01_Assumptions'!K29</f>
        <v/>
      </c>
      <c r="L23" s="26">
        <f>'01_Assumptions'!L29</f>
        <v/>
      </c>
      <c r="M23" s="26">
        <f>'01_Assumptions'!M29</f>
        <v/>
      </c>
      <c r="N23" s="26">
        <f>'01_Assumptions'!N29</f>
        <v/>
      </c>
    </row>
    <row r="24">
      <c r="B24" t="inlineStr">
        <is>
          <t>OTIF actual</t>
        </is>
      </c>
      <c r="C24" s="27">
        <f>'02_Actuals'!C11</f>
        <v/>
      </c>
      <c r="D24" s="27">
        <f>'02_Actuals'!D11</f>
        <v/>
      </c>
      <c r="E24" s="27">
        <f>'02_Actuals'!E11</f>
        <v/>
      </c>
      <c r="F24" s="27">
        <f>'02_Actuals'!F11</f>
        <v/>
      </c>
      <c r="G24" s="27">
        <f>'02_Actuals'!G11</f>
        <v/>
      </c>
      <c r="H24" s="27">
        <f>'02_Actuals'!H11</f>
        <v/>
      </c>
      <c r="I24" s="27">
        <f>'02_Actuals'!I11</f>
        <v/>
      </c>
      <c r="J24" s="27">
        <f>'02_Actuals'!J11</f>
        <v/>
      </c>
      <c r="K24" s="27">
        <f>'02_Actuals'!K11</f>
        <v/>
      </c>
      <c r="L24" s="27">
        <f>'02_Actuals'!L11</f>
        <v/>
      </c>
      <c r="M24" s="27">
        <f>'02_Actuals'!M11</f>
        <v/>
      </c>
      <c r="N24" s="27">
        <f>'02_Actuals'!N11</f>
        <v/>
      </c>
    </row>
    <row r="25">
      <c r="B25" t="inlineStr">
        <is>
          <t>OTIF target</t>
        </is>
      </c>
      <c r="C25" s="27">
        <f>'01_Assumptions'!C33</f>
        <v/>
      </c>
      <c r="D25" s="27">
        <f>'01_Assumptions'!D33</f>
        <v/>
      </c>
      <c r="E25" s="27">
        <f>'01_Assumptions'!E33</f>
        <v/>
      </c>
      <c r="F25" s="27">
        <f>'01_Assumptions'!F33</f>
        <v/>
      </c>
      <c r="G25" s="27">
        <f>'01_Assumptions'!G33</f>
        <v/>
      </c>
      <c r="H25" s="27">
        <f>'01_Assumptions'!H33</f>
        <v/>
      </c>
      <c r="I25" s="27">
        <f>'01_Assumptions'!I33</f>
        <v/>
      </c>
      <c r="J25" s="27">
        <f>'01_Assumptions'!J33</f>
        <v/>
      </c>
      <c r="K25" s="27">
        <f>'01_Assumptions'!K33</f>
        <v/>
      </c>
      <c r="L25" s="27">
        <f>'01_Assumptions'!L33</f>
        <v/>
      </c>
      <c r="M25" s="27">
        <f>'01_Assumptions'!M33</f>
        <v/>
      </c>
      <c r="N25" s="27">
        <f>'01_Assumptions'!N33</f>
        <v/>
      </c>
    </row>
    <row r="26">
      <c r="B26" t="inlineStr">
        <is>
          <t>CCC actual</t>
        </is>
      </c>
      <c r="C26" s="28">
        <f>'02_Actuals'!C14</f>
        <v/>
      </c>
      <c r="D26" s="28">
        <f>'02_Actuals'!D14</f>
        <v/>
      </c>
      <c r="E26" s="28">
        <f>'02_Actuals'!E14</f>
        <v/>
      </c>
      <c r="F26" s="28">
        <f>'02_Actuals'!F14</f>
        <v/>
      </c>
      <c r="G26" s="28">
        <f>'02_Actuals'!G14</f>
        <v/>
      </c>
      <c r="H26" s="28">
        <f>'02_Actuals'!H14</f>
        <v/>
      </c>
      <c r="I26" s="28">
        <f>'02_Actuals'!I14</f>
        <v/>
      </c>
      <c r="J26" s="28">
        <f>'02_Actuals'!J14</f>
        <v/>
      </c>
      <c r="K26" s="28">
        <f>'02_Actuals'!K14</f>
        <v/>
      </c>
      <c r="L26" s="28">
        <f>'02_Actuals'!L14</f>
        <v/>
      </c>
      <c r="M26" s="28">
        <f>'02_Actuals'!M14</f>
        <v/>
      </c>
      <c r="N26" s="28">
        <f>'02_Actuals'!N14</f>
        <v/>
      </c>
    </row>
    <row r="27">
      <c r="B27" t="inlineStr">
        <is>
          <t>CCC target</t>
        </is>
      </c>
      <c r="C27" s="28">
        <f>'01_Assumptions'!C36</f>
        <v/>
      </c>
      <c r="D27" s="28">
        <f>'01_Assumptions'!D36</f>
        <v/>
      </c>
      <c r="E27" s="28">
        <f>'01_Assumptions'!E36</f>
        <v/>
      </c>
      <c r="F27" s="28">
        <f>'01_Assumptions'!F36</f>
        <v/>
      </c>
      <c r="G27" s="28">
        <f>'01_Assumptions'!G36</f>
        <v/>
      </c>
      <c r="H27" s="28">
        <f>'01_Assumptions'!H36</f>
        <v/>
      </c>
      <c r="I27" s="28">
        <f>'01_Assumptions'!I36</f>
        <v/>
      </c>
      <c r="J27" s="28">
        <f>'01_Assumptions'!J36</f>
        <v/>
      </c>
      <c r="K27" s="28">
        <f>'01_Assumptions'!K36</f>
        <v/>
      </c>
      <c r="L27" s="28">
        <f>'01_Assumptions'!L36</f>
        <v/>
      </c>
      <c r="M27" s="28">
        <f>'01_Assumptions'!M36</f>
        <v/>
      </c>
      <c r="N27" s="28">
        <f>'01_Assumptions'!N36</f>
        <v/>
      </c>
    </row>
    <row r="45">
      <c r="B45" s="10" t="inlineStr">
        <is>
          <t>Park the reporting month on Assumptions to walk the year. Red tiles are the conversation starters; the heatmap on 03_Scorecard shows whether a miss is a one-month blip.</t>
        </is>
      </c>
    </row>
  </sheetData>
  <mergeCells count="6">
    <mergeCell ref="B11:D11"/>
    <mergeCell ref="J5:L5"/>
    <mergeCell ref="B5:D5"/>
    <mergeCell ref="F5:H5"/>
    <mergeCell ref="F11:H11"/>
    <mergeCell ref="J11:L11"/>
  </mergeCells>
  <conditionalFormatting sqref="D6">
    <cfRule type="cellIs" priority="1" operator="equal" dxfId="0">
      <formula>"Green"</formula>
    </cfRule>
    <cfRule type="cellIs" priority="2" operator="equal" dxfId="1">
      <formula>"Amber"</formula>
    </cfRule>
    <cfRule type="cellIs" priority="3" operator="equal" dxfId="2">
      <formula>"Red"</formula>
    </cfRule>
  </conditionalFormatting>
  <conditionalFormatting sqref="H6">
    <cfRule type="cellIs" priority="4" operator="equal" dxfId="0">
      <formula>"Green"</formula>
    </cfRule>
    <cfRule type="cellIs" priority="5" operator="equal" dxfId="1">
      <formula>"Amber"</formula>
    </cfRule>
    <cfRule type="cellIs" priority="6" operator="equal" dxfId="2">
      <formula>"Red"</formula>
    </cfRule>
  </conditionalFormatting>
  <conditionalFormatting sqref="L6">
    <cfRule type="cellIs" priority="7" operator="equal" dxfId="0">
      <formula>"Green"</formula>
    </cfRule>
    <cfRule type="cellIs" priority="8" operator="equal" dxfId="1">
      <formula>"Amber"</formula>
    </cfRule>
    <cfRule type="cellIs" priority="9" operator="equal" dxfId="2">
      <formula>"Red"</formula>
    </cfRule>
  </conditionalFormatting>
  <conditionalFormatting sqref="D12">
    <cfRule type="cellIs" priority="10" operator="equal" dxfId="0">
      <formula>"Green"</formula>
    </cfRule>
    <cfRule type="cellIs" priority="11" operator="equal" dxfId="1">
      <formula>"Amber"</formula>
    </cfRule>
    <cfRule type="cellIs" priority="12" operator="equal" dxfId="2">
      <formula>"Red"</formula>
    </cfRule>
  </conditionalFormatting>
  <conditionalFormatting sqref="H12">
    <cfRule type="cellIs" priority="13" operator="equal" dxfId="0">
      <formula>"Green"</formula>
    </cfRule>
    <cfRule type="cellIs" priority="14" operator="equal" dxfId="1">
      <formula>"Amber"</formula>
    </cfRule>
    <cfRule type="cellIs" priority="15" operator="equal" dxfId="2">
      <formula>"Red"</formula>
    </cfRule>
  </conditionalFormatting>
  <conditionalFormatting sqref="L12">
    <cfRule type="cellIs" priority="16" operator="equal" dxfId="0">
      <formula>"Green"</formula>
    </cfRule>
    <cfRule type="cellIs" priority="17" operator="equal" dxfId="1">
      <formula>"Amber"</formula>
    </cfRule>
    <cfRule type="cellIs" priority="18" operator="equal" dxfId="2">
      <formula>"Red"</formula>
    </cfRule>
  </conditionalFormatting>
  <conditionalFormatting sqref="D8">
    <cfRule type="cellIs" priority="19" operator="equal" dxfId="0">
      <formula>"Green"</formula>
    </cfRule>
    <cfRule type="cellIs" priority="20" operator="equal" dxfId="1">
      <formula>"Amber"</formula>
    </cfRule>
    <cfRule type="cellIs" priority="21" operator="equal" dxfId="2">
      <formula>"Red"</formula>
    </cfRule>
  </conditionalFormatting>
  <conditionalFormatting sqref="H8">
    <cfRule type="cellIs" priority="22" operator="equal" dxfId="0">
      <formula>"Green"</formula>
    </cfRule>
    <cfRule type="cellIs" priority="23" operator="equal" dxfId="1">
      <formula>"Amber"</formula>
    </cfRule>
    <cfRule type="cellIs" priority="24" operator="equal" dxfId="2">
      <formula>"Red"</formula>
    </cfRule>
  </conditionalFormatting>
  <conditionalFormatting sqref="L8">
    <cfRule type="cellIs" priority="25" operator="equal" dxfId="0">
      <formula>"Green"</formula>
    </cfRule>
    <cfRule type="cellIs" priority="26" operator="equal" dxfId="1">
      <formula>"Amber"</formula>
    </cfRule>
    <cfRule type="cellIs" priority="27" operator="equal" dxfId="2">
      <formula>"Red"</formula>
    </cfRule>
  </conditionalFormatting>
  <conditionalFormatting sqref="D14">
    <cfRule type="cellIs" priority="28" operator="equal" dxfId="0">
      <formula>"Green"</formula>
    </cfRule>
    <cfRule type="cellIs" priority="29" operator="equal" dxfId="1">
      <formula>"Amber"</formula>
    </cfRule>
    <cfRule type="cellIs" priority="30" operator="equal" dxfId="2">
      <formula>"Red"</formula>
    </cfRule>
  </conditionalFormatting>
  <conditionalFormatting sqref="H14">
    <cfRule type="cellIs" priority="31" operator="equal" dxfId="0">
      <formula>"Green"</formula>
    </cfRule>
    <cfRule type="cellIs" priority="32" operator="equal" dxfId="1">
      <formula>"Amber"</formula>
    </cfRule>
    <cfRule type="cellIs" priority="33" operator="equal" dxfId="2">
      <formula>"Red"</formula>
    </cfRule>
  </conditionalFormatting>
  <conditionalFormatting sqref="L14">
    <cfRule type="cellIs" priority="34" operator="equal" dxfId="0">
      <formula>"Green"</formula>
    </cfRule>
    <cfRule type="cellIs" priority="35" operator="equal" dxfId="1">
      <formula>"Amber"</formula>
    </cfRule>
    <cfRule type="cellIs" priority="36" operator="equal" dxfId="2">
      <formula>"Red"</formula>
    </cfRule>
  </conditionalFormatting>
  <conditionalFormatting sqref="C18:N18">
    <cfRule type="cellIs" priority="37" operator="equal" dxfId="0">
      <formula>"Green"</formula>
    </cfRule>
    <cfRule type="cellIs" priority="38" operator="equal" dxfId="1">
      <formula>"Amber"</formula>
    </cfRule>
    <cfRule type="cellIs" priority="39" operator="equal" dxfId="2">
      <formula>"Red"</formula>
    </cfRule>
  </conditionalFormatting>
  <pageMargins left="0.75" right="0.75" top="1" bottom="1" header="0.5" footer="0.5"/>
  <pageSetup orientation="landscape" paperSize="3" fitToHeight="1" fitToWidth="1"/>
  <headerFooter>
    <oddHeader/>
    <oddFooter>&amp;LNorthline Consumer Products  |  fictional sample&amp;RPage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B2:D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78" customWidth="1" min="4" max="4"/>
  </cols>
  <sheetData>
    <row r="2">
      <c r="B2" s="1" t="inlineStr">
        <is>
          <t>Data dictionary</t>
        </is>
      </c>
    </row>
    <row r="3">
      <c r="B3" s="3" t="inlineStr">
        <is>
          <t>Field definitions so another analyst can inherit the file.</t>
        </is>
      </c>
    </row>
    <row r="5">
      <c r="B5" s="37" t="inlineStr">
        <is>
          <t>Field</t>
        </is>
      </c>
      <c r="C5" s="37" t="inlineStr">
        <is>
          <t>Tab</t>
        </is>
      </c>
      <c r="D5" s="37" t="inlineStr">
        <is>
          <t>Definition</t>
        </is>
      </c>
    </row>
    <row r="6" ht="32" customHeight="1">
      <c r="B6" s="14" t="inlineStr">
        <is>
          <t>Reporting month</t>
        </is>
      </c>
      <c r="C6" s="15" t="inlineStr">
        <is>
          <t>01_Assumptions</t>
        </is>
      </c>
      <c r="D6" s="38" t="inlineStr">
        <is>
          <t>1–12 toggle. Scorecard as-of, YTD, and dashboard INDEX to this month.</t>
        </is>
      </c>
    </row>
    <row r="7" ht="32" customHeight="1">
      <c r="B7" s="14" t="inlineStr">
        <is>
          <t>Direction H/L/R</t>
        </is>
      </c>
      <c r="C7" s="15" t="inlineStr">
        <is>
          <t>01_Assumptions</t>
        </is>
      </c>
      <c r="D7" s="38" t="inlineStr">
        <is>
          <t>H = higher-better, L = lower-better, R = range (hit the plan). Drives RAG.</t>
        </is>
      </c>
    </row>
    <row r="8" ht="32" customHeight="1">
      <c r="B8" s="14" t="inlineStr">
        <is>
          <t>Amber band</t>
        </is>
      </c>
      <c r="C8" s="15" t="inlineStr">
        <is>
          <t>01_Assumptions</t>
        </is>
      </c>
      <c r="D8" s="38" t="inlineStr">
        <is>
          <t>Relative miss still scored Amber. H: actual ≥ target×(1−band). L: actual ≤ target×(1+band).</t>
        </is>
      </c>
    </row>
    <row r="9" ht="32" customHeight="1">
      <c r="B9" s="14" t="inlineStr">
        <is>
          <t>Green band (R)</t>
        </is>
      </c>
      <c r="C9" s="15" t="inlineStr">
        <is>
          <t>01_Assumptions</t>
        </is>
      </c>
      <c r="D9" s="38" t="inlineStr">
        <is>
          <t>For range KPIs only: |actual/target − 1| ≤ green band is Green.</t>
        </is>
      </c>
    </row>
    <row r="10" ht="32" customHeight="1">
      <c r="B10" s="14" t="inlineStr">
        <is>
          <t>Aggregation</t>
        </is>
      </c>
      <c r="C10" s="15" t="inlineStr">
        <is>
          <t>01_Assumptions</t>
        </is>
      </c>
      <c r="D10" s="38" t="inlineStr">
        <is>
          <t>SUM (flows), AVG (rates), LAST (stocks). Used for FY totals and YTD.</t>
        </is>
      </c>
    </row>
    <row r="11" ht="32" customHeight="1">
      <c r="B11" s="14" t="inlineStr">
        <is>
          <t>Monthly targets</t>
        </is>
      </c>
      <c r="C11" s="15" t="inlineStr">
        <is>
          <t>01_Assumptions</t>
        </is>
      </c>
      <c r="D11" s="38" t="inlineStr">
        <is>
          <t>Yellow inputs. Seasonal for revenue/volume/EBITDA; flat policy for OTIF, scrap, DSO, CCC.</t>
        </is>
      </c>
    </row>
    <row r="12" ht="32" customHeight="1">
      <c r="B12" s="14" t="inlineStr">
        <is>
          <t>FY25 actuals</t>
        </is>
      </c>
      <c r="C12" s="15" t="inlineStr">
        <is>
          <t>01_Assumptions</t>
        </is>
      </c>
      <c r="D12" s="38" t="inlineStr">
        <is>
          <t>Prior-year monthly revenue and volume so Trends can show YoY.</t>
        </is>
      </c>
    </row>
    <row r="13" ht="32" customHeight="1">
      <c r="B13" s="14" t="inlineStr">
        <is>
          <t>Monthly actuals</t>
        </is>
      </c>
      <c r="C13" s="15" t="inlineStr">
        <is>
          <t>02_Actuals</t>
        </is>
      </c>
      <c r="D13" s="38" t="inlineStr">
        <is>
          <t>Yellow inputs — the only numbers a controller would paste each month.</t>
        </is>
      </c>
    </row>
    <row r="14" ht="32" customHeight="1">
      <c r="B14" s="14" t="inlineStr">
        <is>
          <t>YTD actual / target</t>
        </is>
      </c>
      <c r="C14" s="15" t="inlineStr">
        <is>
          <t>02_Actuals</t>
        </is>
      </c>
      <c r="D14" s="38" t="inlineStr">
        <is>
          <t>OFFSET/INDEX through the reporting month, using each KPI’s aggregation.</t>
        </is>
      </c>
    </row>
    <row r="15" ht="32" customHeight="1">
      <c r="B15" s="14" t="inlineStr">
        <is>
          <t>As-of RAG</t>
        </is>
      </c>
      <c r="C15" s="15" t="inlineStr">
        <is>
          <t>03_Scorecard</t>
        </is>
      </c>
      <c r="D15" s="38" t="inlineStr">
        <is>
          <t>Green / Amber / Red from actual vs target and the KPI’s direction + bands. Formula, not typed.</t>
        </is>
      </c>
    </row>
    <row r="16" ht="32" customHeight="1">
      <c r="B16" s="14" t="inlineStr">
        <is>
          <t>Monthly RAG heatmap</t>
        </is>
      </c>
      <c r="C16" s="15" t="inlineStr">
        <is>
          <t>03_Scorecard</t>
        </is>
      </c>
      <c r="D16" s="38" t="inlineStr">
        <is>
          <t>Same RAG formula across 12 months. Conditional formatting colors the cells.</t>
        </is>
      </c>
    </row>
    <row r="17" ht="32" customHeight="1">
      <c r="B17" s="14" t="inlineStr">
        <is>
          <t>MoM change</t>
        </is>
      </c>
      <c r="C17" s="15" t="inlineStr">
        <is>
          <t>04_Trends</t>
        </is>
      </c>
      <c r="D17" s="38" t="inlineStr">
        <is>
          <t>For rates, actual minus prior month. For levels, actual / prior − 1.</t>
        </is>
      </c>
    </row>
    <row r="18" ht="32" customHeight="1">
      <c r="B18" s="14" t="inlineStr">
        <is>
          <t>Rolling 3-month</t>
        </is>
      </c>
      <c r="C18" s="15" t="inlineStr">
        <is>
          <t>04_Trends</t>
        </is>
      </c>
      <c r="D18" s="38" t="inlineStr">
        <is>
          <t>Average of the last 1–3 months (shorter window at the start of the year).</t>
        </is>
      </c>
    </row>
    <row r="19" ht="32" customHeight="1">
      <c r="B19" s="14" t="inlineStr">
        <is>
          <t>YoY %</t>
        </is>
      </c>
      <c r="C19" s="15" t="inlineStr">
        <is>
          <t>04_Trends</t>
        </is>
      </c>
      <c r="D19" s="38" t="inlineStr">
        <is>
          <t>FY26 actual ÷ FY25 actual − 1 for revenue and volume.</t>
        </is>
      </c>
    </row>
    <row r="20" ht="32" customHeight="1">
      <c r="B20" s="14" t="inlineStr">
        <is>
          <t>Net revenue</t>
        </is>
      </c>
      <c r="C20" s="15" t="inlineStr">
        <is>
          <t>02_Actuals</t>
        </is>
      </c>
      <c r="D20" s="38" t="inlineStr">
        <is>
          <t>Net sales $000s. Higher-better.</t>
        </is>
      </c>
    </row>
    <row r="21" ht="32" customHeight="1">
      <c r="B21" s="14" t="inlineStr">
        <is>
          <t>Gross margin %</t>
        </is>
      </c>
      <c r="C21" s="15" t="inlineStr">
        <is>
          <t>02_Actuals</t>
        </is>
      </c>
      <c r="D21" s="38" t="inlineStr">
        <is>
          <t>(Revenue − COGS) / revenue. Higher-better.</t>
        </is>
      </c>
    </row>
    <row r="22" ht="32" customHeight="1">
      <c r="B22" s="14" t="inlineStr">
        <is>
          <t>EBITDA</t>
        </is>
      </c>
      <c r="C22" s="15" t="inlineStr">
        <is>
          <t>02_Actuals</t>
        </is>
      </c>
      <c r="D22" s="38" t="inlineStr">
        <is>
          <t>Earnings before interest, tax, depreciation, amortization. $000s. Higher-better.</t>
        </is>
      </c>
    </row>
    <row r="23" ht="32" customHeight="1">
      <c r="B23" s="14" t="inlineStr">
        <is>
          <t>Volume</t>
        </is>
      </c>
      <c r="C23" s="15" t="inlineStr">
        <is>
          <t>02_Actuals</t>
        </is>
      </c>
      <c r="D23" s="38" t="inlineStr">
        <is>
          <t>Cases shipped, thousands. Higher-better.</t>
        </is>
      </c>
    </row>
    <row r="24" ht="32" customHeight="1">
      <c r="B24" s="14" t="inlineStr">
        <is>
          <t>OTIF %</t>
        </is>
      </c>
      <c r="C24" s="15" t="inlineStr">
        <is>
          <t>02_Actuals</t>
        </is>
      </c>
      <c r="D24" s="38" t="inlineStr">
        <is>
          <t>On-time in-full customer deliveries. Higher-better.</t>
        </is>
      </c>
    </row>
    <row r="25" ht="32" customHeight="1">
      <c r="B25" s="14" t="inlineStr">
        <is>
          <t>Scrap %</t>
        </is>
      </c>
      <c r="C25" s="15" t="inlineStr">
        <is>
          <t>02_Actuals</t>
        </is>
      </c>
      <c r="D25" s="38" t="inlineStr">
        <is>
          <t>Scrapped production ÷ total production. Lower-better.</t>
        </is>
      </c>
    </row>
    <row r="26" ht="32" customHeight="1">
      <c r="B26" s="14" t="inlineStr">
        <is>
          <t>DSO / CCC</t>
        </is>
      </c>
      <c r="C26" s="15" t="inlineStr">
        <is>
          <t>02_Actuals</t>
        </is>
      </c>
      <c r="D26" s="38" t="inlineStr">
        <is>
          <t>Working-capital days. Lower-better. Aligns with the WC dashboard sample.</t>
        </is>
      </c>
    </row>
    <row r="27" ht="32" customHeight="1">
      <c r="B27" s="14" t="inlineStr">
        <is>
          <t>Headcount</t>
        </is>
      </c>
      <c r="C27" s="15" t="inlineStr">
        <is>
          <t>02_Actuals</t>
        </is>
      </c>
      <c r="D27" s="38" t="inlineStr">
        <is>
          <t>Ending FTE. Range vs plan (R). Aligns with the staffing-forecast sample.</t>
        </is>
      </c>
    </row>
    <row r="28" ht="32" customHeight="1">
      <c r="B28" s="14" t="inlineStr">
        <is>
          <t>Attrition % (ann.)</t>
        </is>
      </c>
      <c r="C28" s="15" t="inlineStr">
        <is>
          <t>02_Actuals</t>
        </is>
      </c>
      <c r="D28" s="38" t="inlineStr">
        <is>
          <t>Monthly exits / opening × 12. Lower-better.</t>
        </is>
      </c>
    </row>
    <row r="29" ht="32" customHeight="1">
      <c r="B29" s="14" t="inlineStr">
        <is>
          <t>Operating cash flow</t>
        </is>
      </c>
      <c r="C29" s="15" t="inlineStr">
        <is>
          <t>02_Actuals</t>
        </is>
      </c>
      <c r="D29" s="38" t="inlineStr">
        <is>
          <t>Cash from operations $000s. Higher-better.</t>
        </is>
      </c>
    </row>
    <row r="30" ht="32" customHeight="1">
      <c r="B30" s="14" t="inlineStr">
        <is>
          <t>SG&amp;A % of sales</t>
        </is>
      </c>
      <c r="C30" s="15" t="inlineStr">
        <is>
          <t>02_Actuals</t>
        </is>
      </c>
      <c r="D30" s="38" t="inlineStr">
        <is>
          <t>Selling, general &amp; administrative ÷ net revenue. Lower-better.</t>
        </is>
      </c>
    </row>
    <row r="31" ht="32" customHeight="1">
      <c r="B31" s="14" t="inlineStr">
        <is>
          <t>Units</t>
        </is>
      </c>
      <c r="C31" s="15" t="inlineStr">
        <is>
          <t>All</t>
        </is>
      </c>
      <c r="D31" s="38" t="inlineStr">
        <is>
          <t>Dollars in $000s. Rates in %. Headcount in FTE. Volume in 000 cases. Days in days.</t>
        </is>
      </c>
    </row>
    <row r="34">
      <c r="B34" s="10" t="inlineStr">
        <is>
          <t>All sample numbers are fictional. Built for a public GitHub portfolio — no employer data.</t>
        </is>
      </c>
    </row>
  </sheetData>
  <pageMargins left="0.75" right="0.75" top="1" bottom="1" header="0.5" footer="0.5"/>
  <pageSetup orientation="landscape" paperSize="3" fitToHeight="0" fitToWidth="1"/>
  <headerFooter>
    <oddHeader/>
    <oddFooter>&amp;LNorthline Consumer Products  |  fictional sample&amp;RPage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2026-09-02T01:17:45Z</dcterms:created>
  <dcterms:modified xsi:type="dcterms:W3CDTF">2026-09-02T01:17:45Z</dcterms:modified>
</cp:coreProperties>
</file>